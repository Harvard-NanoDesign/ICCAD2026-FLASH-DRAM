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Materials (baseline)" sheetId="2" r:id="rId5"/>
    <sheet state="visible" name="Mo" sheetId="3" r:id="rId6"/>
    <sheet state="visible" name="Cryo" sheetId="4" r:id="rId7"/>
    <sheet state="visible" name="Reference Values" sheetId="5" r:id="rId8"/>
    <sheet state="visible" name="Mo W comparison" sheetId="6" r:id="rId9"/>
  </sheets>
  <definedNames>
    <definedName hidden="1" localSheetId="1" name="_xlnm._FilterDatabase">'Materials (baseline)'!$J$2:$O$13</definedName>
  </definedNames>
  <calcPr/>
  <extLst>
    <ext uri="GoogleSheetsCustomDataVersion2">
      <go:sheetsCustomData xmlns:go="http://customooxmlschemas.google.com/" r:id="rId10" roundtripDataChecksum="VvCR429SI0+Bmopz2dGDd+pEoMJqtwXu5D1StlFGZI4="/>
    </ext>
  </extLst>
</workbook>
</file>

<file path=xl/sharedStrings.xml><?xml version="1.0" encoding="utf-8"?>
<sst xmlns="http://schemas.openxmlformats.org/spreadsheetml/2006/main" count="1745" uniqueCount="448">
  <si>
    <t>Mask step</t>
  </si>
  <si>
    <r>
      <rPr>
        <rFont val="Arial"/>
      </rPr>
      <t xml:space="preserve">Step from </t>
    </r>
    <r>
      <rPr>
        <rFont val="Arial"/>
        <color rgb="FF1155CC"/>
        <u/>
      </rPr>
      <t>TI YMTC 232 L 3D NAND reverse-engineered flow</t>
    </r>
  </si>
  <si>
    <r>
      <rPr>
        <rFont val="Arial"/>
      </rPr>
      <t xml:space="preserve">Steps otherwise from </t>
    </r>
    <r>
      <rPr>
        <rFont val="Arial"/>
        <color rgb="FF1155CC"/>
        <u/>
      </rPr>
      <t>TI SK hynix 176 L 3D NAND reverse-engineered flow</t>
    </r>
  </si>
  <si>
    <t>Scaled by stack height</t>
  </si>
  <si>
    <t># string stacking module:</t>
  </si>
  <si>
    <t>Module</t>
  </si>
  <si>
    <t>Seq#</t>
  </si>
  <si>
    <t>PFF#</t>
  </si>
  <si>
    <t>Process Description</t>
  </si>
  <si>
    <t>Recipe Description</t>
  </si>
  <si>
    <t>THK/Depth/CD</t>
  </si>
  <si>
    <t>Material</t>
  </si>
  <si>
    <t>Method</t>
  </si>
  <si>
    <t>Thickness/CD (nm)</t>
  </si>
  <si>
    <t>Geometry</t>
  </si>
  <si>
    <t>Volume (nm^3)</t>
  </si>
  <si>
    <t>Mass (g)</t>
  </si>
  <si>
    <t>gCO2e</t>
  </si>
  <si>
    <t># fabricated layers:</t>
  </si>
  <si>
    <t>(1) WAFER PREP</t>
  </si>
  <si>
    <t>Si</t>
  </si>
  <si>
    <t>Wafer (Si)</t>
  </si>
  <si>
    <t>(2) CuA PERIPHERY + ROUTING</t>
  </si>
  <si>
    <t>Nitride Deposition</t>
  </si>
  <si>
    <t>SiN, LPCVD</t>
  </si>
  <si>
    <t>30 nm</t>
  </si>
  <si>
    <t>SiN</t>
  </si>
  <si>
    <t>LPCVD</t>
  </si>
  <si>
    <t>Wafer</t>
  </si>
  <si>
    <t>High Voltage Gate Oxide - Photo</t>
  </si>
  <si>
    <t>PR/ARC, KRF</t>
  </si>
  <si>
    <t>TPR=0.5 um</t>
  </si>
  <si>
    <t>PR/ARC</t>
  </si>
  <si>
    <t>KRF</t>
  </si>
  <si>
    <t>SiON</t>
  </si>
  <si>
    <t>Decoupled Plasma Nitridation</t>
  </si>
  <si>
    <t>SiON, PLASMA</t>
  </si>
  <si>
    <t>Top 1 nm</t>
  </si>
  <si>
    <t>PLASMA</t>
  </si>
  <si>
    <t>50 nm</t>
  </si>
  <si>
    <t>SiO</t>
  </si>
  <si>
    <t>Deep N-Well IIP - Photo</t>
  </si>
  <si>
    <t>PR/ARC, I-LINE</t>
  </si>
  <si>
    <t>TPR=3.0 um</t>
  </si>
  <si>
    <t>I-LINE</t>
  </si>
  <si>
    <t>ACL</t>
  </si>
  <si>
    <t>High Voltage N-Well IIP - Photo</t>
  </si>
  <si>
    <t>TPR=1.0 um</t>
  </si>
  <si>
    <t>Ti</t>
  </si>
  <si>
    <t>High Voltage P-Well IIP - Photo</t>
  </si>
  <si>
    <t>WN</t>
  </si>
  <si>
    <t>Depletion NMOS IIP - Photo</t>
  </si>
  <si>
    <t>WSiN</t>
  </si>
  <si>
    <t>P-Well IIP - Photo</t>
  </si>
  <si>
    <t>W</t>
  </si>
  <si>
    <t>N-Well IIP - Photo</t>
  </si>
  <si>
    <t>TIN</t>
  </si>
  <si>
    <t>Low Voltage NMOS VT2 Adjust IIP - Photo</t>
  </si>
  <si>
    <t>Low Volatge PMOS VT2 Adjust IIP - Photo</t>
  </si>
  <si>
    <t>Active - Photo</t>
  </si>
  <si>
    <t>PR/ARC, ARF</t>
  </si>
  <si>
    <t>ARF</t>
  </si>
  <si>
    <t>Offset Junction IIP - Photo</t>
  </si>
  <si>
    <t>Field IIP - Photo</t>
  </si>
  <si>
    <t>STI Oxide</t>
  </si>
  <si>
    <t>SiO, HDP</t>
  </si>
  <si>
    <t>900 nm</t>
  </si>
  <si>
    <t>HDP</t>
  </si>
  <si>
    <t>Nitride HM Deposition</t>
  </si>
  <si>
    <t>3 nm</t>
  </si>
  <si>
    <t>Oxide HM Deposition</t>
  </si>
  <si>
    <t>SiO, PECVD</t>
  </si>
  <si>
    <t>85 nm</t>
  </si>
  <si>
    <t>PECVD</t>
  </si>
  <si>
    <t>Poly Resistor - Photo</t>
  </si>
  <si>
    <t>Peripheral Gate - Photo</t>
  </si>
  <si>
    <t>NMOS LDD IIP - Photo</t>
  </si>
  <si>
    <t>PMOS LDD IIP - Photo</t>
  </si>
  <si>
    <t>Sidewall Spacer Nitride Deposition</t>
  </si>
  <si>
    <t>SiN, PECVD</t>
  </si>
  <si>
    <t>6 nm</t>
  </si>
  <si>
    <t>Sidewall Spacer Oxide Deposition</t>
  </si>
  <si>
    <t>44 nm</t>
  </si>
  <si>
    <t>NMOS Source / Drain IIP - Photo</t>
  </si>
  <si>
    <t>PMOS Source / Drain IIP - Photo</t>
  </si>
  <si>
    <t>Oxide Liner Deposition</t>
  </si>
  <si>
    <t>Nitride CESL Deposition</t>
  </si>
  <si>
    <t>17 nm</t>
  </si>
  <si>
    <t>Oxide Deposition</t>
  </si>
  <si>
    <t>800 nm</t>
  </si>
  <si>
    <t>Contact - Photo</t>
  </si>
  <si>
    <t xml:space="preserve">ACL Deposition </t>
  </si>
  <si>
    <t>ACL, CVD</t>
  </si>
  <si>
    <t>500 nm</t>
  </si>
  <si>
    <t>CVD</t>
  </si>
  <si>
    <t>Si-ARC Dep</t>
  </si>
  <si>
    <t>SiON, PECVD</t>
  </si>
  <si>
    <t>Metal 1 - Photo</t>
  </si>
  <si>
    <t>PR/ARC, ARF-I</t>
  </si>
  <si>
    <t>TPR=0.1 µm, Min/Typical Pitch = 70 nm/85 nm</t>
  </si>
  <si>
    <t>PR/ARC/Si-ARC</t>
  </si>
  <si>
    <t>ARF-I</t>
  </si>
  <si>
    <t>Nitride (ILD 1-1) Deposition</t>
  </si>
  <si>
    <t>53 nm</t>
  </si>
  <si>
    <t>Oxide (ILD 1-2) Deposition</t>
  </si>
  <si>
    <t>560 nm</t>
  </si>
  <si>
    <t>Via 1 - Photo</t>
  </si>
  <si>
    <t>Metal 2 - Photo</t>
  </si>
  <si>
    <t>Nitride (ILD 2-1) Deposition</t>
  </si>
  <si>
    <t>SiN, CVD</t>
  </si>
  <si>
    <t>45 nm</t>
  </si>
  <si>
    <t>Oxide (ILD 2-2) Deposition</t>
  </si>
  <si>
    <t>SiO, CVD</t>
  </si>
  <si>
    <t>730 nm</t>
  </si>
  <si>
    <t>Via 2 - Photo</t>
  </si>
  <si>
    <t>Metal 3 - Photo</t>
  </si>
  <si>
    <t>TPR=1 um</t>
  </si>
  <si>
    <t>Nitride/Oxide/Nitride (ILD 3-1) Deposition</t>
  </si>
  <si>
    <t>SiN, SiO, SiN, PECVD</t>
  </si>
  <si>
    <t>19 nm, 2 nm (possible break vacuum), 19 nm</t>
  </si>
  <si>
    <t>SiN, SiO, SiN</t>
  </si>
  <si>
    <t>Oxide (ILD 3-2) Deposition</t>
  </si>
  <si>
    <t>310 nm</t>
  </si>
  <si>
    <t>Ti Deposition</t>
  </si>
  <si>
    <t>Ti, PVD</t>
  </si>
  <si>
    <t>PVD</t>
  </si>
  <si>
    <t>WN Deposition</t>
  </si>
  <si>
    <t>WN, PVD</t>
  </si>
  <si>
    <t>WSiN Deposition</t>
  </si>
  <si>
    <t>WSiN, PVD</t>
  </si>
  <si>
    <t>W Deposition</t>
  </si>
  <si>
    <t>W, PECVD</t>
  </si>
  <si>
    <t>Ti, CVD</t>
  </si>
  <si>
    <t>20 nm</t>
  </si>
  <si>
    <t>TiN Liner Deposition</t>
  </si>
  <si>
    <t>TiN, CVD</t>
  </si>
  <si>
    <t>10 nm</t>
  </si>
  <si>
    <t>TiN</t>
  </si>
  <si>
    <t>W, CVD</t>
  </si>
  <si>
    <t>150 nm</t>
  </si>
  <si>
    <t>350 nm</t>
  </si>
  <si>
    <t>3) DWB CMOS WAFER</t>
  </si>
  <si>
    <t>7 nm</t>
  </si>
  <si>
    <t>100 nm</t>
  </si>
  <si>
    <t>Ta</t>
  </si>
  <si>
    <t>TaN</t>
  </si>
  <si>
    <t>Cu</t>
  </si>
  <si>
    <t>Barrier &amp; Seed Deposition</t>
  </si>
  <si>
    <t>Ta, TaN, Cu, PVD, ALD, PVD</t>
  </si>
  <si>
    <t>Bottom TaN: 15nm, S/W TaN: 15 nm</t>
  </si>
  <si>
    <t>Ta, TaN, Cu</t>
  </si>
  <si>
    <t>PVD, ALD, PVD</t>
  </si>
  <si>
    <t>Cu Plate</t>
  </si>
  <si>
    <t>Cu, PLATE</t>
  </si>
  <si>
    <t>PLATE</t>
  </si>
  <si>
    <t>Poly-Si</t>
  </si>
  <si>
    <t>SiCN</t>
  </si>
  <si>
    <t>NiPt</t>
  </si>
  <si>
    <t>Bottom TaN: 10 nm, S/W TaN: 10 nm</t>
  </si>
  <si>
    <t>TPR = 1 µm</t>
  </si>
  <si>
    <t>STI Oxide 1</t>
  </si>
  <si>
    <t>200 nm</t>
  </si>
  <si>
    <t>STI Oxide 2</t>
  </si>
  <si>
    <t>700 nm</t>
  </si>
  <si>
    <t>TPR = 3 µm</t>
  </si>
  <si>
    <t>TPR = 0.5 µm</t>
  </si>
  <si>
    <t>Low Voltage Gate Oxide - Photo</t>
  </si>
  <si>
    <t>1.6 nm</t>
  </si>
  <si>
    <t>Poly-Si Deposition</t>
  </si>
  <si>
    <t>Poly-Si, PECVD</t>
  </si>
  <si>
    <t>130 nm</t>
  </si>
  <si>
    <t>Sidewall Spacer Nitride (SWS1) Deposition</t>
  </si>
  <si>
    <t>8 nm</t>
  </si>
  <si>
    <t>Sidewall Spacer Oxide (SWS2) Deposition</t>
  </si>
  <si>
    <t>9 nm</t>
  </si>
  <si>
    <t>Sidewall Spacer Nitride (SWS3) Deposition</t>
  </si>
  <si>
    <t>NMOS S/D IIP - Photo</t>
  </si>
  <si>
    <t>PMOS S/D IIP - Photo</t>
  </si>
  <si>
    <t>Silicide Block Oxide Deposition</t>
  </si>
  <si>
    <t>Silicide Block Nitride Deposition</t>
  </si>
  <si>
    <t>16 nm</t>
  </si>
  <si>
    <t>Silicide Block - Photo</t>
  </si>
  <si>
    <t>PR/ARC, KRF, Resistor, HV Transistor</t>
  </si>
  <si>
    <t>NiPt (5%) Deposition</t>
  </si>
  <si>
    <t>NiPt, PVD</t>
  </si>
  <si>
    <t>26 nm</t>
  </si>
  <si>
    <t>CESL Nitride Deposition</t>
  </si>
  <si>
    <t>PMD Oxide (PMD3) Deposition</t>
  </si>
  <si>
    <t>260 nm</t>
  </si>
  <si>
    <t>PMD Oxide (PMD4) Deposition</t>
  </si>
  <si>
    <t>360 nm</t>
  </si>
  <si>
    <t>Oxide (ILD0) Deposition</t>
  </si>
  <si>
    <t>80 nm</t>
  </si>
  <si>
    <t>Metal 1  - Photo</t>
  </si>
  <si>
    <t>TPR = 0.5 µm, Pitch = 160 nm</t>
  </si>
  <si>
    <t>Oxide (ILD1) Deposition</t>
  </si>
  <si>
    <t>250 nm</t>
  </si>
  <si>
    <t>Metal 2  - Photo</t>
  </si>
  <si>
    <t>TPR = 0.5 µm, Pitch = 120 nm</t>
  </si>
  <si>
    <t>Oxide (ILD2-1) Deposition</t>
  </si>
  <si>
    <t>160 nm</t>
  </si>
  <si>
    <t>Oxide (ILD2-2) Deposition</t>
  </si>
  <si>
    <t>Metal 3  - Photo</t>
  </si>
  <si>
    <t>TPR = 0.5 µm, Pitch = 230 nm</t>
  </si>
  <si>
    <t>SiON (ILD3-1) Deposition</t>
  </si>
  <si>
    <t>4 nm</t>
  </si>
  <si>
    <t>Nitride (ILD3-2) Deposition</t>
  </si>
  <si>
    <t>51 nm</t>
  </si>
  <si>
    <t>Oxide (ILD3-3) Deposition</t>
  </si>
  <si>
    <t>580 nm</t>
  </si>
  <si>
    <t>Via 3 - Photo</t>
  </si>
  <si>
    <t>Metal 4  - Photo</t>
  </si>
  <si>
    <t>TPR = 0.5 µm, Pitch of 360 nm</t>
  </si>
  <si>
    <t>SiON (ILD4-1) Deposition</t>
  </si>
  <si>
    <t>Nitride (ILD4-2) Deposition</t>
  </si>
  <si>
    <t>71 nm</t>
  </si>
  <si>
    <t>Oxide (ILD4-3) Deposition</t>
  </si>
  <si>
    <t>820 nm</t>
  </si>
  <si>
    <t>Via 4 - Photo</t>
  </si>
  <si>
    <t>Metal 5  - Photo</t>
  </si>
  <si>
    <t>TPR = 1 µm, Pitch of 360 nm</t>
  </si>
  <si>
    <t>Nitride (ILD5-1) Deposition</t>
  </si>
  <si>
    <t>SiCN (ILD5-2) Deposition</t>
  </si>
  <si>
    <t>SiCN, PECVD</t>
  </si>
  <si>
    <t>60 nm</t>
  </si>
  <si>
    <t>Oxide (ILD5-3) Deposition</t>
  </si>
  <si>
    <t>300 nm</t>
  </si>
  <si>
    <t>Nitride (ILD5-4) Deposition</t>
  </si>
  <si>
    <t>SiCN (ILD5-5) Deposition</t>
  </si>
  <si>
    <t>63 nm</t>
  </si>
  <si>
    <t>Via 5 - Photo</t>
  </si>
  <si>
    <t>Metal 6  - Photo</t>
  </si>
  <si>
    <t>(4) DWB BONDING</t>
  </si>
  <si>
    <t>SiCN Oxidation</t>
  </si>
  <si>
    <t>O2, THERMAL</t>
  </si>
  <si>
    <t>O2</t>
  </si>
  <si>
    <t>THERMAL</t>
  </si>
  <si>
    <t>SiCN Plasma Treatment</t>
  </si>
  <si>
    <t>SiCN, PLASMA</t>
  </si>
  <si>
    <t>Back Side Source Connect - Photo</t>
  </si>
  <si>
    <t>a-Si</t>
  </si>
  <si>
    <t>a-Si (capping layer) Deposition</t>
  </si>
  <si>
    <t>a-Si, PECVD</t>
  </si>
  <si>
    <t>180 nm</t>
  </si>
  <si>
    <t>Via 10 - Photo</t>
  </si>
  <si>
    <t>TiAl</t>
  </si>
  <si>
    <t>Al(Cu)</t>
  </si>
  <si>
    <t>TiN Deposition</t>
  </si>
  <si>
    <t>TiAl Deposition</t>
  </si>
  <si>
    <t>TiAl, PVD</t>
  </si>
  <si>
    <t>AlCu Deposition</t>
  </si>
  <si>
    <t>Al(Cu), PVD</t>
  </si>
  <si>
    <t>670 nm</t>
  </si>
  <si>
    <t>TiN, PVD</t>
  </si>
  <si>
    <t>SiON Deposition</t>
  </si>
  <si>
    <t>25 nm</t>
  </si>
  <si>
    <t>Metal 11 - Photo</t>
  </si>
  <si>
    <t>Passivation Oxide Deposition</t>
  </si>
  <si>
    <t>Passivation Nitride Deposition</t>
  </si>
  <si>
    <t>1.2 µm</t>
  </si>
  <si>
    <t>(5) COMMON SOURCE</t>
  </si>
  <si>
    <t>15 nm</t>
  </si>
  <si>
    <t>Poly-Si (source plate 1) Deposition</t>
  </si>
  <si>
    <t>Poly-Si, LPCVD</t>
  </si>
  <si>
    <t>Poly-Si (P-doped)</t>
  </si>
  <si>
    <t>12 nm</t>
  </si>
  <si>
    <t>Top 9 nm</t>
  </si>
  <si>
    <t>Poly-Si (source plate 2) Deposition</t>
  </si>
  <si>
    <t>36 nm</t>
  </si>
  <si>
    <t>AlO</t>
  </si>
  <si>
    <t>Top 3 nm</t>
  </si>
  <si>
    <t>Poly-Si (source plate 3) Deposition</t>
  </si>
  <si>
    <t>105 nm</t>
  </si>
  <si>
    <t>Common Source Plate - Photo</t>
  </si>
  <si>
    <t>Oxide (ILD 3-3) Deposition</t>
  </si>
  <si>
    <t>Oxide (ILD 3-4a) Deposition</t>
  </si>
  <si>
    <t>Via 3A - Photo</t>
  </si>
  <si>
    <t>Oxide (ILD 3-4b) Deposition</t>
  </si>
  <si>
    <t>AlO Deposition</t>
  </si>
  <si>
    <t>AlO, PECVD</t>
  </si>
  <si>
    <t>Common Source Replacement - Photo</t>
  </si>
  <si>
    <t>TPR = 10 um</t>
  </si>
  <si>
    <t>SiO, PEALD</t>
  </si>
  <si>
    <t>PEALD</t>
  </si>
  <si>
    <t>Poly-Si (replaced source plate 2) Deposition</t>
  </si>
  <si>
    <t>40 nm</t>
  </si>
  <si>
    <t>gCO2e/layer:</t>
  </si>
  <si>
    <t>(6) STACK DEPOSITION + ETCH</t>
  </si>
  <si>
    <t>MOLD 1 Deposition</t>
  </si>
  <si>
    <t>SiN, SiO, PECVD</t>
  </si>
  <si>
    <t>SiN 28 nm, SiO 25 nm</t>
  </si>
  <si>
    <t>SiO, SiN</t>
  </si>
  <si>
    <t>SiO (scale)</t>
  </si>
  <si>
    <t>SiO scale:</t>
  </si>
  <si>
    <t>CHM Deposition</t>
  </si>
  <si>
    <t>CHM, PECVD</t>
  </si>
  <si>
    <t>2 um</t>
  </si>
  <si>
    <t>CHM</t>
  </si>
  <si>
    <t>SiN (scale)</t>
  </si>
  <si>
    <t>SiN scale:</t>
  </si>
  <si>
    <t>Si-ARC Deposition</t>
  </si>
  <si>
    <t>Lower Mold - Photo</t>
  </si>
  <si>
    <t>TPR=0.1 um</t>
  </si>
  <si>
    <t>BLOCK SiN Deposition</t>
  </si>
  <si>
    <t>MODULE TOTAL --&gt;</t>
  </si>
  <si>
    <t>(7) STRING  STACKING</t>
  </si>
  <si>
    <t>70 nm</t>
  </si>
  <si>
    <t>(8) CELL FORMATION + CHANNEL PLUG</t>
  </si>
  <si>
    <t>SiO, LPCVD</t>
  </si>
  <si>
    <t>Channel</t>
  </si>
  <si>
    <t>Storage Nitride Deposition</t>
  </si>
  <si>
    <t>Tunnnel Dielectric Deposition</t>
  </si>
  <si>
    <t>SiON, LPCVD</t>
  </si>
  <si>
    <t>Channel scale:</t>
  </si>
  <si>
    <t>all except plug --&gt;</t>
  </si>
  <si>
    <t>Channel Deposition</t>
  </si>
  <si>
    <t>Oxide Filler Deposition</t>
  </si>
  <si>
    <t>Plug Deposition</t>
  </si>
  <si>
    <t>Oxide (ILD 3-5d) Deposition</t>
  </si>
  <si>
    <t>(9) SELECT GATE</t>
  </si>
  <si>
    <t>Oxide (ILD 3-5e) Deposition</t>
  </si>
  <si>
    <t>Select Gate Cut - Photo</t>
  </si>
  <si>
    <t>(10) SLIT FORMATION AND WL METAL REPLACEMENT</t>
  </si>
  <si>
    <t>SLIT - Photo</t>
  </si>
  <si>
    <t>High-K Deposition</t>
  </si>
  <si>
    <t>AlO, PEALD</t>
  </si>
  <si>
    <t>2 nm</t>
  </si>
  <si>
    <t>TiN, PEALD</t>
  </si>
  <si>
    <t>2.5 nm</t>
  </si>
  <si>
    <t>(Sequential) CVD</t>
  </si>
  <si>
    <t>Wordline scale:</t>
  </si>
  <si>
    <t>wordline --&gt;</t>
  </si>
  <si>
    <t>Oxide Seal Deposition</t>
  </si>
  <si>
    <t>CSL Si Deposition</t>
  </si>
  <si>
    <t>140 nm</t>
  </si>
  <si>
    <t>(11) VIA + WL CONTACT</t>
  </si>
  <si>
    <t>Via 3B - Photo</t>
  </si>
  <si>
    <t>TPR=10.0 um</t>
  </si>
  <si>
    <t>Nitride (ILD 3-6) Deposition</t>
  </si>
  <si>
    <t>27 nm</t>
  </si>
  <si>
    <t>Oxide (ILD 3-7a) Deposition</t>
  </si>
  <si>
    <t>Wordline contact scale:</t>
  </si>
  <si>
    <t>worldine contact --&gt;</t>
  </si>
  <si>
    <t>Word Line Contact - Photo</t>
  </si>
  <si>
    <t>TPR=10 um</t>
  </si>
  <si>
    <t>TiN, PVD, ALD</t>
  </si>
  <si>
    <t>PVD, ALD</t>
  </si>
  <si>
    <t>(12) ROUTING ABOVE ARRAY</t>
  </si>
  <si>
    <t>Via 3C - Photo</t>
  </si>
  <si>
    <t>Oxide (ILD 3-7b) Deposition</t>
  </si>
  <si>
    <t>90 nm</t>
  </si>
  <si>
    <t>Nitride (ILD 3-8) Deposition</t>
  </si>
  <si>
    <t>24 nm</t>
  </si>
  <si>
    <t>Via 3D - Photo</t>
  </si>
  <si>
    <t>ILD 3-9 Deposition</t>
  </si>
  <si>
    <t>Al</t>
  </si>
  <si>
    <t>TiN bottom HM</t>
  </si>
  <si>
    <t>TiN, PECVD</t>
  </si>
  <si>
    <t>a-Si Buffer</t>
  </si>
  <si>
    <t>a-Si, LPCVD</t>
  </si>
  <si>
    <t>TiN top HM</t>
  </si>
  <si>
    <t>Metal 4 Bitline - Photo</t>
  </si>
  <si>
    <t>TPR=0.1 um, L/S = 38 nm / 38 nm</t>
  </si>
  <si>
    <t>SADP Spacer SiN Deposition</t>
  </si>
  <si>
    <t>ACL Deposition</t>
  </si>
  <si>
    <t>ACL, SPIN</t>
  </si>
  <si>
    <t>SPIN</t>
  </si>
  <si>
    <t>M4 Routing &amp; Spacer Block - Photo</t>
  </si>
  <si>
    <t>IMD 4-1 Deposition</t>
  </si>
  <si>
    <t>75 nm</t>
  </si>
  <si>
    <t>IMD 4-2 Deposition</t>
  </si>
  <si>
    <t>Al Deposition</t>
  </si>
  <si>
    <t>Al, PVD</t>
  </si>
  <si>
    <t>635 nm</t>
  </si>
  <si>
    <t>Metal 5 - Photo</t>
  </si>
  <si>
    <t>SiO, PETEOS</t>
  </si>
  <si>
    <t>1.1 um</t>
  </si>
  <si>
    <t>PETEOS</t>
  </si>
  <si>
    <t>Pad - Photo</t>
  </si>
  <si>
    <t>Bottom TiN: 9 nm, S/W TiN: 5 nm</t>
  </si>
  <si>
    <t>Bottom TiN: 5 nm, S/W TiN: 5 nm</t>
  </si>
  <si>
    <t>Ta, PVD</t>
  </si>
  <si>
    <t>TaN, ALD</t>
  </si>
  <si>
    <t>Bottom TaN: 10 nm, S/W TaN: 2 nm</t>
  </si>
  <si>
    <t>ALD</t>
  </si>
  <si>
    <t>Cu, PVD</t>
  </si>
  <si>
    <t>Cu electroplate</t>
  </si>
  <si>
    <t>5 nm</t>
  </si>
  <si>
    <t>55 nm (7 nm oxidise to TiO)</t>
  </si>
  <si>
    <t>(13) WL PAD PATTERNING</t>
  </si>
  <si>
    <t>Word Line Pad 1 - Photo</t>
  </si>
  <si>
    <t>TPR=12 um</t>
  </si>
  <si>
    <t>Word Line Pad 2 - Photo</t>
  </si>
  <si>
    <t>Word Line Pad 3 - Photo</t>
  </si>
  <si>
    <t>TPR=4 um</t>
  </si>
  <si>
    <t>Word Line Pad 4 - Photo</t>
  </si>
  <si>
    <t>TEOS</t>
  </si>
  <si>
    <t>Word Line Pad 5 - Photo</t>
  </si>
  <si>
    <t>TPR=2 um</t>
  </si>
  <si>
    <t>Word Line Pad 6 - Photo</t>
  </si>
  <si>
    <t>34 nm</t>
  </si>
  <si>
    <t>Nitride Plasma treatment</t>
  </si>
  <si>
    <t>SiN, PLASMA</t>
  </si>
  <si>
    <t>Oxide (ILD 3-5a) Deposition</t>
  </si>
  <si>
    <t>TEOS (ILD 3-5b) Deposition</t>
  </si>
  <si>
    <t>TEOS, PECVD</t>
  </si>
  <si>
    <t>10 um</t>
  </si>
  <si>
    <t>Oxide (ILD 3-5c) Deposition</t>
  </si>
  <si>
    <t>MOLYBDENUM</t>
  </si>
  <si>
    <t>gCO23/layer</t>
  </si>
  <si>
    <t>Mo</t>
  </si>
  <si>
    <t>Cryo string stacking modules:</t>
  </si>
  <si>
    <t>CRYO</t>
  </si>
  <si>
    <t>Area of 300 mm wafer (cm^2):</t>
  </si>
  <si>
    <t>Area of 300 mm wafer (nm^2):</t>
  </si>
  <si>
    <t>Densities (g/cm3)</t>
  </si>
  <si>
    <t>Densities (g/nm3)</t>
  </si>
  <si>
    <t>To calculate embodied carbon (gCO2e/g):</t>
  </si>
  <si>
    <t>a-Si (amorphous silicon)</t>
  </si>
  <si>
    <t>ACL (amorphous carbon layer)</t>
  </si>
  <si>
    <t>Al (aluminum)</t>
  </si>
  <si>
    <r>
      <rPr>
        <rFont val="Arial"/>
        <color theme="1"/>
      </rPr>
      <t xml:space="preserve">Al(Cu) (aluminum-copper alloy, </t>
    </r>
    <r>
      <rPr>
        <rFont val="Arial"/>
        <i/>
        <color theme="1"/>
      </rPr>
      <t>assumed 50/50</t>
    </r>
    <r>
      <rPr>
        <rFont val="Arial"/>
        <color theme="1"/>
      </rPr>
      <t>)</t>
    </r>
  </si>
  <si>
    <t>AlO (aluminum oxide)</t>
  </si>
  <si>
    <t>CHM (carbon-based hard mask)</t>
  </si>
  <si>
    <t>Cu (copper)</t>
  </si>
  <si>
    <t>Mo (molybdenum)</t>
  </si>
  <si>
    <t>NiPt (nickel platinum)</t>
  </si>
  <si>
    <t>Poly-Si (polycrystalline silicon)</t>
  </si>
  <si>
    <t>PR/ARC (as PGMEA) (photoresist/anti-reflective coating(</t>
  </si>
  <si>
    <t>SiCN (silicon carbon nitride)</t>
  </si>
  <si>
    <t>SiN (silicon nitride)</t>
  </si>
  <si>
    <t>SiO (silicon oxide)</t>
  </si>
  <si>
    <t>SiON (silicon oxynitride)</t>
  </si>
  <si>
    <t>TaN (tantalum nitride)</t>
  </si>
  <si>
    <t>TEOS (liquid form) (tetraethyl orthosilicate)</t>
  </si>
  <si>
    <t>Ti (titanium)</t>
  </si>
  <si>
    <r>
      <rPr>
        <rFont val="Arial"/>
        <color theme="1"/>
      </rPr>
      <t xml:space="preserve">Ti(Al) (titanium-aluminum alloy, </t>
    </r>
    <r>
      <rPr>
        <rFont val="Arial"/>
        <i/>
        <color theme="1"/>
      </rPr>
      <t>assumed 50/50</t>
    </r>
    <r>
      <rPr>
        <rFont val="Arial"/>
        <color theme="1"/>
      </rPr>
      <t>)</t>
    </r>
  </si>
  <si>
    <t>TiN (titanium nitride)</t>
  </si>
  <si>
    <t>W (tungsten)</t>
  </si>
  <si>
    <t>Wafer (silicon, 300 mm diameter)</t>
  </si>
  <si>
    <t>N/A (1 wafer)</t>
  </si>
  <si>
    <t>N/A</t>
  </si>
  <si>
    <t>(per wafer)</t>
  </si>
  <si>
    <t>WN (tungsten nitride)</t>
  </si>
  <si>
    <t>WSiN (tungsten silicon nitride)</t>
  </si>
  <si>
    <t>Material from module 10, 176L</t>
  </si>
  <si>
    <t>Tungsten WL (gCO2e)</t>
  </si>
  <si>
    <t>Mo WL (gCO2e)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</si>
</sst>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E+00"/>
  </numFmts>
  <fonts count="42">
    <font>
      <sz val="12.0"/>
      <color theme="1"/>
      <name val="Aptos Narrow"/>
      <scheme val="minor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b/>
      <color rgb="FFFA7D00"/>
      <name val="Arial"/>
    </font>
    <font>
      <sz val="12.0"/>
      <color theme="1"/>
      <name val="Aptos Narrow"/>
    </font>
    <font>
      <b/>
      <color theme="1"/>
      <name val="Arial"/>
    </font>
    <font>
      <sz val="10.0"/>
      <color theme="1"/>
      <name val="Arial"/>
    </font>
    <font>
      <b/>
      <sz val="12.0"/>
      <color theme="1"/>
      <name val="Aptos Narrow"/>
    </font>
    <font>
      <b/>
      <sz val="11.0"/>
      <color theme="1"/>
      <name val="Aptos Narrow"/>
    </font>
    <font>
      <b/>
      <sz val="12.0"/>
      <color rgb="FFFA7D00"/>
      <name val="Aptos Narrow"/>
    </font>
    <font>
      <sz val="12.0"/>
      <color theme="1"/>
      <name val="Arial"/>
    </font>
    <font>
      <b/>
      <sz val="11.0"/>
      <color theme="1"/>
      <name val="Arial"/>
    </font>
    <font>
      <color theme="1"/>
      <name val="Aptos Narrow"/>
    </font>
    <font>
      <b/>
      <u/>
      <sz val="12.0"/>
      <color theme="1"/>
      <name val="Aptos Narrow"/>
    </font>
    <font>
      <sz val="11.0"/>
      <color theme="1"/>
      <name val="Aptos Narrow"/>
    </font>
    <font>
      <b/>
      <u/>
      <sz val="12.0"/>
      <color theme="1"/>
      <name val="Aptos Narrow (Body)"/>
    </font>
    <font>
      <b/>
      <u/>
      <sz val="12.0"/>
      <color theme="1"/>
      <name val="Aptos Narrow"/>
    </font>
    <font>
      <b/>
      <u/>
      <sz val="12.0"/>
      <color theme="1"/>
      <name val="Aptos Narrow"/>
    </font>
    <font>
      <b/>
      <u/>
      <sz val="12.0"/>
      <color theme="1"/>
      <name val="Aptos Narrow"/>
    </font>
    <font>
      <b/>
      <u/>
      <sz val="12.0"/>
      <color theme="1"/>
      <name val="Aptos Narrow"/>
    </font>
    <font>
      <b/>
      <u/>
      <sz val="12.0"/>
      <color theme="1"/>
      <name val="Aptos Narrow (Body)"/>
    </font>
    <font>
      <b/>
      <u/>
      <sz val="12.0"/>
      <color theme="1"/>
      <name val="Aptos Narrow (Body)"/>
    </font>
    <font>
      <b/>
      <u/>
      <sz val="12.0"/>
      <color theme="1"/>
      <name val="Aptos Narrow (Body)"/>
    </font>
    <font>
      <b/>
      <u/>
      <sz val="12.0"/>
      <color theme="1"/>
      <name val="Aptos Narrow (Body)"/>
    </font>
    <font>
      <b/>
      <u/>
      <sz val="12.0"/>
      <color theme="1"/>
      <name val="Aptos Narrow (Body)"/>
    </font>
    <font>
      <b/>
      <u/>
      <sz val="12.0"/>
      <color theme="1"/>
      <name val="Aptos Narrow (Body)"/>
    </font>
    <font>
      <b/>
      <u/>
      <sz val="12.0"/>
      <color theme="1"/>
      <name val="Aptos Narrow (Body)"/>
    </font>
    <font>
      <b/>
      <u/>
      <sz val="12.0"/>
      <color theme="1"/>
      <name val="Aptos Narrow (Body)"/>
    </font>
    <font>
      <b/>
      <u/>
      <sz val="12.0"/>
      <color theme="1"/>
      <name val="Aptos Narrow (Body)"/>
    </font>
    <font>
      <b/>
      <u/>
      <sz val="12.0"/>
      <color theme="1"/>
      <name val="Aptos Narrow (Body)"/>
    </font>
    <font>
      <b/>
      <sz val="11.0"/>
      <color rgb="FFFA7D00"/>
      <name val="Aptos Narrow"/>
    </font>
    <font>
      <b/>
      <u/>
      <sz val="12.0"/>
      <color theme="1"/>
      <name val="Aptos Narrow"/>
    </font>
    <font>
      <b/>
      <u/>
      <sz val="12.0"/>
      <color theme="1"/>
      <name val="Aptos Narrow"/>
    </font>
    <font>
      <b/>
      <sz val="12.0"/>
      <color theme="1"/>
      <name val="Aptos Narrow (Body)"/>
    </font>
    <font>
      <b/>
      <u/>
      <sz val="12.0"/>
      <color theme="0"/>
      <name val="Arial"/>
    </font>
    <font>
      <b/>
      <u/>
      <sz val="12.0"/>
      <color theme="1"/>
      <name val="Aptos Narrow"/>
    </font>
    <font>
      <b/>
      <u/>
      <sz val="12.0"/>
      <color rgb="FFFFFFFF"/>
      <name val="Aptos Narrow (Body)"/>
    </font>
    <font>
      <color theme="1"/>
      <name val="Aptos Narrow"/>
      <scheme val="minor"/>
    </font>
    <font>
      <b/>
      <u/>
      <sz val="12.0"/>
      <color theme="1"/>
      <name val="Aptos Narrow"/>
    </font>
    <font>
      <b/>
      <u/>
      <sz val="12.0"/>
      <color theme="1"/>
      <name val="Arial"/>
    </font>
    <font>
      <sz val="12.0"/>
      <color rgb="FF000000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AE2D5"/>
        <bgColor rgb="FFFAE2D5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/>
      <right/>
      <top/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 style="thin">
        <color rgb="FF000000"/>
      </left>
      <right/>
      <top/>
    </border>
    <border>
      <left/>
      <right style="thin">
        <color rgb="FF000000"/>
      </right>
      <top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/>
      <top/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000000"/>
      </top>
      <bottom style="thin">
        <color rgb="FF7F7F7F"/>
      </bottom>
    </border>
    <border>
      <left style="thin">
        <color rgb="FF7F7F7F"/>
      </left>
      <right/>
      <top style="thin">
        <color rgb="FF000000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000000"/>
      </top>
      <bottom style="thin">
        <color rgb="FF000000"/>
      </bottom>
    </border>
    <border>
      <left style="thin">
        <color rgb="FF7F7F7F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2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Fill="1" applyFont="1"/>
    <xf borderId="0" fillId="0" fontId="3" numFmtId="0" xfId="0" applyFont="1"/>
    <xf borderId="0" fillId="0" fontId="4" numFmtId="0" xfId="0" applyFont="1"/>
    <xf borderId="0" fillId="0" fontId="5" numFmtId="49" xfId="0" applyFont="1" applyNumberFormat="1"/>
    <xf borderId="1" fillId="0" fontId="6" numFmtId="0" xfId="0" applyBorder="1" applyFont="1"/>
    <xf borderId="2" fillId="0" fontId="7" numFmtId="0" xfId="0" applyBorder="1" applyFont="1"/>
    <xf borderId="3" fillId="0" fontId="7" numFmtId="0" xfId="0" applyBorder="1" applyFont="1"/>
    <xf borderId="4" fillId="0" fontId="7" numFmtId="0" xfId="0" applyBorder="1" applyFont="1"/>
    <xf borderId="0" fillId="0" fontId="5" numFmtId="0" xfId="0" applyAlignment="1" applyFont="1">
      <alignment horizontal="center"/>
    </xf>
    <xf borderId="1" fillId="0" fontId="8" numFmtId="0" xfId="0" applyAlignment="1" applyBorder="1" applyFont="1">
      <alignment horizontal="center"/>
    </xf>
    <xf borderId="1" fillId="4" fontId="9" numFmtId="0" xfId="0" applyAlignment="1" applyBorder="1" applyFill="1" applyFont="1">
      <alignment horizontal="center" shrinkToFit="0" vertical="top" wrapText="1"/>
    </xf>
    <xf borderId="1" fillId="4" fontId="9" numFmtId="0" xfId="0" applyAlignment="1" applyBorder="1" applyFont="1">
      <alignment horizontal="left" shrinkToFit="0" vertical="top" wrapText="1"/>
    </xf>
    <xf borderId="5" fillId="5" fontId="10" numFmtId="0" xfId="0" applyAlignment="1" applyBorder="1" applyFill="1" applyFont="1">
      <alignment horizontal="center" shrinkToFit="0" vertical="top" wrapText="1"/>
    </xf>
    <xf borderId="1" fillId="0" fontId="5" numFmtId="0" xfId="0" applyBorder="1" applyFont="1"/>
    <xf borderId="1" fillId="0" fontId="5" numFmtId="49" xfId="0" applyBorder="1" applyFont="1" applyNumberFormat="1"/>
    <xf borderId="1" fillId="0" fontId="11" numFmtId="0" xfId="0" applyBorder="1" applyFont="1"/>
    <xf borderId="6" fillId="0" fontId="5" numFmtId="0" xfId="0" applyBorder="1" applyFont="1"/>
    <xf borderId="2" fillId="0" fontId="8" numFmtId="0" xfId="0" applyBorder="1" applyFont="1"/>
    <xf borderId="3" fillId="0" fontId="8" numFmtId="0" xfId="0" applyBorder="1" applyFont="1"/>
    <xf borderId="4" fillId="0" fontId="8" numFmtId="0" xfId="0" applyBorder="1" applyFont="1"/>
    <xf borderId="0" fillId="0" fontId="8" numFmtId="0" xfId="0" applyFont="1"/>
    <xf borderId="7" fillId="0" fontId="8" numFmtId="0" xfId="0" applyAlignment="1" applyBorder="1" applyFont="1">
      <alignment horizontal="left"/>
    </xf>
    <xf borderId="1" fillId="4" fontId="12" numFmtId="0" xfId="0" applyAlignment="1" applyBorder="1" applyFont="1">
      <alignment horizontal="center" shrinkToFit="0" vertical="top" wrapText="1"/>
    </xf>
    <xf borderId="8" fillId="5" fontId="10" numFmtId="0" xfId="0" applyAlignment="1" applyBorder="1" applyFont="1">
      <alignment horizontal="center" shrinkToFit="0" vertical="top" wrapText="1"/>
    </xf>
    <xf borderId="9" fillId="0" fontId="5" numFmtId="0" xfId="0" applyBorder="1" applyFont="1"/>
    <xf borderId="0" fillId="0" fontId="13" numFmtId="0" xfId="0" applyFont="1"/>
    <xf borderId="6" fillId="0" fontId="13" numFmtId="0" xfId="0" applyBorder="1" applyFont="1"/>
    <xf borderId="7" fillId="0" fontId="13" numFmtId="0" xfId="0" applyBorder="1" applyFont="1"/>
    <xf borderId="10" fillId="0" fontId="13" numFmtId="0" xfId="0" applyBorder="1" applyFont="1"/>
    <xf borderId="11" fillId="6" fontId="14" numFmtId="0" xfId="0" applyBorder="1" applyFill="1" applyFont="1"/>
    <xf borderId="1" fillId="6" fontId="15" numFmtId="0" xfId="0" applyAlignment="1" applyBorder="1" applyFont="1">
      <alignment horizontal="center" vertical="top"/>
    </xf>
    <xf borderId="1" fillId="6" fontId="15" numFmtId="0" xfId="0" applyAlignment="1" applyBorder="1" applyFont="1">
      <alignment vertical="top"/>
    </xf>
    <xf borderId="1" fillId="6" fontId="15" numFmtId="0" xfId="0" applyAlignment="1" applyBorder="1" applyFont="1">
      <alignment horizontal="left" vertical="top"/>
    </xf>
    <xf borderId="11" fillId="5" fontId="8" numFmtId="0" xfId="0" applyAlignment="1" applyBorder="1" applyFont="1">
      <alignment shrinkToFit="0" wrapText="1"/>
    </xf>
    <xf borderId="12" fillId="6" fontId="5" numFmtId="0" xfId="0" applyBorder="1" applyFont="1"/>
    <xf borderId="11" fillId="6" fontId="5" numFmtId="49" xfId="0" applyBorder="1" applyFont="1" applyNumberFormat="1"/>
    <xf borderId="11" fillId="6" fontId="5" numFmtId="0" xfId="0" applyBorder="1" applyFont="1"/>
    <xf borderId="13" fillId="6" fontId="5" numFmtId="11" xfId="0" applyBorder="1" applyFont="1" applyNumberFormat="1"/>
    <xf borderId="6" fillId="6" fontId="13" numFmtId="11" xfId="0" applyBorder="1" applyFont="1" applyNumberFormat="1"/>
    <xf borderId="7" fillId="6" fontId="13" numFmtId="0" xfId="0" applyBorder="1" applyFont="1"/>
    <xf borderId="10" fillId="6" fontId="13" numFmtId="0" xfId="0" applyBorder="1" applyFont="1"/>
    <xf borderId="0" fillId="6" fontId="13" numFmtId="0" xfId="0" applyFont="1"/>
    <xf borderId="1" fillId="2" fontId="15" numFmtId="0" xfId="0" applyAlignment="1" applyBorder="1" applyFont="1">
      <alignment vertical="top"/>
    </xf>
    <xf borderId="14" fillId="5" fontId="8" numFmtId="0" xfId="0" applyAlignment="1" applyBorder="1" applyFont="1">
      <alignment shrinkToFit="0" wrapText="1"/>
    </xf>
    <xf borderId="15" fillId="6" fontId="5" numFmtId="0" xfId="0" applyBorder="1" applyFont="1"/>
    <xf borderId="14" fillId="6" fontId="5" numFmtId="49" xfId="0" applyBorder="1" applyFont="1" applyNumberFormat="1"/>
    <xf borderId="14" fillId="6" fontId="5" numFmtId="0" xfId="0" applyBorder="1" applyFont="1"/>
    <xf borderId="16" fillId="6" fontId="5" numFmtId="11" xfId="0" applyBorder="1" applyFont="1" applyNumberFormat="1"/>
    <xf borderId="17" fillId="6" fontId="13" numFmtId="11" xfId="0" applyBorder="1" applyFont="1" applyNumberFormat="1"/>
    <xf borderId="18" fillId="6" fontId="13" numFmtId="0" xfId="0" applyBorder="1" applyFont="1"/>
    <xf borderId="0" fillId="6" fontId="16" numFmtId="0" xfId="0" applyFont="1"/>
    <xf borderId="0" fillId="6" fontId="5" numFmtId="0" xfId="0" applyAlignment="1" applyFont="1">
      <alignment horizontal="center"/>
    </xf>
    <xf borderId="0" fillId="6" fontId="17" numFmtId="0" xfId="0" applyAlignment="1" applyFont="1">
      <alignment horizontal="center"/>
    </xf>
    <xf borderId="16" fillId="6" fontId="5" numFmtId="0" xfId="0" applyBorder="1" applyFont="1"/>
    <xf borderId="17" fillId="6" fontId="13" numFmtId="0" xfId="0" applyBorder="1" applyFont="1"/>
    <xf borderId="16" fillId="6" fontId="8" numFmtId="0" xfId="0" applyBorder="1" applyFont="1"/>
    <xf borderId="0" fillId="6" fontId="8" numFmtId="0" xfId="0" applyFont="1"/>
    <xf borderId="0" fillId="6" fontId="18" numFmtId="0" xfId="0" applyFont="1"/>
    <xf borderId="1" fillId="2" fontId="15" numFmtId="0" xfId="0" applyAlignment="1" applyBorder="1" applyFont="1">
      <alignment horizontal="left" vertical="top"/>
    </xf>
    <xf borderId="19" fillId="6" fontId="19" numFmtId="0" xfId="0" applyBorder="1" applyFont="1"/>
    <xf borderId="20" fillId="6" fontId="15" numFmtId="0" xfId="0" applyAlignment="1" applyBorder="1" applyFont="1">
      <alignment horizontal="center" vertical="top"/>
    </xf>
    <xf borderId="15" fillId="5" fontId="5" numFmtId="0" xfId="0" applyBorder="1" applyFont="1"/>
    <xf borderId="14" fillId="5" fontId="5" numFmtId="0" xfId="0" applyBorder="1" applyFont="1"/>
    <xf borderId="21" fillId="6" fontId="20" numFmtId="0" xfId="0" applyBorder="1" applyFont="1"/>
    <xf borderId="8" fillId="5" fontId="5" numFmtId="0" xfId="0" applyBorder="1" applyFont="1"/>
    <xf borderId="22" fillId="6" fontId="5" numFmtId="0" xfId="0" applyBorder="1" applyFont="1"/>
    <xf borderId="8" fillId="6" fontId="5" numFmtId="49" xfId="0" applyBorder="1" applyFont="1" applyNumberFormat="1"/>
    <xf borderId="8" fillId="6" fontId="5" numFmtId="0" xfId="0" applyBorder="1" applyFont="1"/>
    <xf borderId="23" fillId="6" fontId="5" numFmtId="0" xfId="0" applyBorder="1" applyFont="1"/>
    <xf borderId="7" fillId="0" fontId="21" numFmtId="0" xfId="0" applyBorder="1" applyFont="1"/>
    <xf borderId="1" fillId="3" fontId="5" numFmtId="0" xfId="0" applyAlignment="1" applyBorder="1" applyFont="1">
      <alignment horizontal="center" vertical="top"/>
    </xf>
    <xf borderId="1" fillId="0" fontId="5" numFmtId="0" xfId="0" applyAlignment="1" applyBorder="1" applyFont="1">
      <alignment horizontal="left" vertical="top"/>
    </xf>
    <xf borderId="1" fillId="0" fontId="5" numFmtId="0" xfId="0" applyAlignment="1" applyBorder="1" applyFont="1">
      <alignment horizontal="center" vertical="top"/>
    </xf>
    <xf borderId="2" fillId="0" fontId="5" numFmtId="0" xfId="0" applyAlignment="1" applyBorder="1" applyFont="1">
      <alignment horizontal="center" vertical="top"/>
    </xf>
    <xf borderId="24" fillId="5" fontId="5" numFmtId="0" xfId="0" applyBorder="1" applyFont="1"/>
    <xf borderId="7" fillId="0" fontId="5" numFmtId="0" xfId="0" applyBorder="1" applyFont="1"/>
    <xf borderId="7" fillId="0" fontId="5" numFmtId="49" xfId="0" applyAlignment="1" applyBorder="1" applyFont="1" applyNumberFormat="1">
      <alignment horizontal="center"/>
    </xf>
    <xf borderId="25" fillId="6" fontId="5" numFmtId="11" xfId="0" applyBorder="1" applyFont="1" applyNumberFormat="1"/>
    <xf borderId="6" fillId="0" fontId="13" numFmtId="11" xfId="0" applyBorder="1" applyFont="1" applyNumberFormat="1"/>
    <xf borderId="26" fillId="5" fontId="5" numFmtId="0" xfId="0" applyBorder="1" applyFont="1"/>
    <xf borderId="0" fillId="0" fontId="5" numFmtId="0" xfId="0" applyFont="1"/>
    <xf borderId="0" fillId="0" fontId="5" numFmtId="49" xfId="0" applyAlignment="1" applyFont="1" applyNumberFormat="1">
      <alignment horizontal="center" vertical="top"/>
    </xf>
    <xf borderId="27" fillId="6" fontId="5" numFmtId="11" xfId="0" applyBorder="1" applyFont="1" applyNumberFormat="1"/>
    <xf borderId="17" fillId="0" fontId="13" numFmtId="11" xfId="0" applyBorder="1" applyFont="1" applyNumberFormat="1"/>
    <xf borderId="18" fillId="0" fontId="13" numFmtId="0" xfId="0" applyBorder="1" applyFont="1"/>
    <xf borderId="18" fillId="0" fontId="5" numFmtId="0" xfId="0" applyBorder="1" applyFont="1"/>
    <xf borderId="17" fillId="0" fontId="13" numFmtId="0" xfId="0" applyBorder="1" applyFont="1"/>
    <xf borderId="18" fillId="0" fontId="5" numFmtId="11" xfId="0" applyBorder="1" applyFont="1" applyNumberFormat="1"/>
    <xf borderId="18" fillId="0" fontId="5" numFmtId="2" xfId="0" applyBorder="1" applyFont="1" applyNumberFormat="1"/>
    <xf borderId="17" fillId="0" fontId="5" numFmtId="164" xfId="0" applyBorder="1" applyFont="1" applyNumberFormat="1"/>
    <xf borderId="0" fillId="0" fontId="22" numFmtId="0" xfId="0" applyFont="1"/>
    <xf borderId="28" fillId="3" fontId="5" numFmtId="0" xfId="0" applyAlignment="1" applyBorder="1" applyFont="1">
      <alignment horizontal="center" vertical="top"/>
    </xf>
    <xf borderId="29" fillId="0" fontId="5" numFmtId="0" xfId="0" applyAlignment="1" applyBorder="1" applyFont="1">
      <alignment horizontal="left" vertical="top"/>
    </xf>
    <xf borderId="29" fillId="0" fontId="5" numFmtId="0" xfId="0" applyAlignment="1" applyBorder="1" applyFont="1">
      <alignment horizontal="center" vertical="top"/>
    </xf>
    <xf borderId="30" fillId="0" fontId="5" numFmtId="0" xfId="0" applyAlignment="1" applyBorder="1" applyFont="1">
      <alignment horizontal="center" vertical="top"/>
    </xf>
    <xf borderId="26" fillId="5" fontId="8" numFmtId="0" xfId="0" applyAlignment="1" applyBorder="1" applyFont="1">
      <alignment shrinkToFit="0" wrapText="1"/>
    </xf>
    <xf borderId="1" fillId="2" fontId="5" numFmtId="0" xfId="0" applyAlignment="1" applyBorder="1" applyFont="1">
      <alignment horizontal="left" vertical="top"/>
    </xf>
    <xf borderId="15" fillId="5" fontId="8" numFmtId="0" xfId="0" applyAlignment="1" applyBorder="1" applyFont="1">
      <alignment shrinkToFit="0" wrapText="1"/>
    </xf>
    <xf borderId="1" fillId="0" fontId="5" numFmtId="0" xfId="0" applyAlignment="1" applyBorder="1" applyFont="1">
      <alignment horizontal="center" shrinkToFit="0" vertical="top" wrapText="1"/>
    </xf>
    <xf borderId="3" fillId="0" fontId="23" numFmtId="0" xfId="0" applyBorder="1" applyFont="1"/>
    <xf borderId="31" fillId="5" fontId="8" numFmtId="0" xfId="0" applyAlignment="1" applyBorder="1" applyFont="1">
      <alignment shrinkToFit="0" wrapText="1"/>
    </xf>
    <xf borderId="30" fillId="0" fontId="5" numFmtId="0" xfId="0" applyBorder="1" applyFont="1"/>
    <xf borderId="32" fillId="0" fontId="5" numFmtId="49" xfId="0" applyBorder="1" applyFont="1" applyNumberFormat="1"/>
    <xf borderId="32" fillId="0" fontId="5" numFmtId="0" xfId="0" applyBorder="1" applyFont="1"/>
    <xf borderId="33" fillId="0" fontId="5" numFmtId="0" xfId="0" applyBorder="1" applyFont="1"/>
    <xf borderId="34" fillId="6" fontId="24" numFmtId="0" xfId="0" applyBorder="1" applyFont="1"/>
    <xf borderId="1" fillId="6" fontId="5" numFmtId="0" xfId="0" applyAlignment="1" applyBorder="1" applyFont="1">
      <alignment horizontal="left" vertical="top"/>
    </xf>
    <xf borderId="1" fillId="6" fontId="5" numFmtId="0" xfId="0" applyAlignment="1" applyBorder="1" applyFont="1">
      <alignment horizontal="center" shrinkToFit="0" vertical="top" wrapText="1"/>
    </xf>
    <xf borderId="1" fillId="6" fontId="5" numFmtId="0" xfId="0" applyAlignment="1" applyBorder="1" applyFont="1">
      <alignment horizontal="center" vertical="top"/>
    </xf>
    <xf borderId="11" fillId="5" fontId="5" numFmtId="0" xfId="0" applyBorder="1" applyFont="1"/>
    <xf borderId="7" fillId="6" fontId="5" numFmtId="0" xfId="0" applyBorder="1" applyFont="1"/>
    <xf borderId="7" fillId="6" fontId="5" numFmtId="49" xfId="0" applyAlignment="1" applyBorder="1" applyFont="1" applyNumberFormat="1">
      <alignment horizontal="center"/>
    </xf>
    <xf borderId="10" fillId="6" fontId="5" numFmtId="11" xfId="0" applyBorder="1" applyFont="1" applyNumberFormat="1"/>
    <xf borderId="14" fillId="6" fontId="5" numFmtId="49" xfId="0" applyAlignment="1" applyBorder="1" applyFont="1" applyNumberFormat="1">
      <alignment horizontal="center"/>
    </xf>
    <xf borderId="18" fillId="6" fontId="5" numFmtId="11" xfId="0" applyBorder="1" applyFont="1" applyNumberFormat="1"/>
    <xf borderId="0" fillId="6" fontId="5" numFmtId="49" xfId="0" applyAlignment="1" applyFont="1" applyNumberFormat="1">
      <alignment horizontal="center"/>
    </xf>
    <xf borderId="0" fillId="6" fontId="5" numFmtId="49" xfId="0" applyFont="1" applyNumberFormat="1"/>
    <xf borderId="18" fillId="6" fontId="5" numFmtId="0" xfId="0" applyBorder="1" applyFont="1"/>
    <xf borderId="2" fillId="6" fontId="25" numFmtId="0" xfId="0" applyBorder="1" applyFont="1"/>
    <xf borderId="35" fillId="5" fontId="8" numFmtId="0" xfId="0" applyAlignment="1" applyBorder="1" applyFont="1">
      <alignment shrinkToFit="0" wrapText="1"/>
    </xf>
    <xf borderId="30" fillId="6" fontId="5" numFmtId="0" xfId="0" applyBorder="1" applyFont="1"/>
    <xf borderId="32" fillId="6" fontId="5" numFmtId="49" xfId="0" applyBorder="1" applyFont="1" applyNumberFormat="1"/>
    <xf borderId="32" fillId="6" fontId="5" numFmtId="0" xfId="0" applyBorder="1" applyFont="1"/>
    <xf borderId="33" fillId="6" fontId="5" numFmtId="0" xfId="0" applyBorder="1" applyFont="1"/>
    <xf borderId="34" fillId="0" fontId="26" numFmtId="0" xfId="0" applyBorder="1" applyFont="1"/>
    <xf borderId="1" fillId="4" fontId="15" numFmtId="0" xfId="0" applyAlignment="1" applyBorder="1" applyFont="1">
      <alignment horizontal="center" vertical="top"/>
    </xf>
    <xf borderId="1" fillId="4" fontId="15" numFmtId="0" xfId="0" applyAlignment="1" applyBorder="1" applyFont="1">
      <alignment vertical="top"/>
    </xf>
    <xf borderId="1" fillId="4" fontId="15" numFmtId="0" xfId="0" applyAlignment="1" applyBorder="1" applyFont="1">
      <alignment horizontal="left" vertical="top"/>
    </xf>
    <xf borderId="34" fillId="0" fontId="5" numFmtId="0" xfId="0" applyBorder="1" applyFont="1"/>
    <xf borderId="7" fillId="0" fontId="5" numFmtId="49" xfId="0" applyBorder="1" applyFont="1" applyNumberFormat="1"/>
    <xf borderId="9" fillId="0" fontId="27" numFmtId="0" xfId="0" applyBorder="1" applyFont="1"/>
    <xf borderId="28" fillId="4" fontId="15" numFmtId="0" xfId="0" applyAlignment="1" applyBorder="1" applyFont="1">
      <alignment horizontal="center" vertical="top"/>
    </xf>
    <xf borderId="28" fillId="4" fontId="15" numFmtId="0" xfId="0" applyAlignment="1" applyBorder="1" applyFont="1">
      <alignment vertical="top"/>
    </xf>
    <xf borderId="28" fillId="4" fontId="15" numFmtId="0" xfId="0" applyAlignment="1" applyBorder="1" applyFont="1">
      <alignment horizontal="left" vertical="top"/>
    </xf>
    <xf borderId="2" fillId="0" fontId="28" numFmtId="0" xfId="0" applyBorder="1" applyFont="1"/>
    <xf borderId="0" fillId="0" fontId="6" numFmtId="0" xfId="0" applyFont="1"/>
    <xf borderId="18" fillId="0" fontId="8" numFmtId="0" xfId="0" applyBorder="1" applyFont="1"/>
    <xf borderId="11" fillId="6" fontId="29" numFmtId="0" xfId="0" applyBorder="1" applyFont="1"/>
    <xf borderId="36" fillId="6" fontId="10" numFmtId="0" xfId="0" applyAlignment="1" applyBorder="1" applyFont="1">
      <alignment vertical="top"/>
    </xf>
    <xf borderId="36" fillId="6" fontId="10" numFmtId="0" xfId="0" applyAlignment="1" applyBorder="1" applyFont="1">
      <alignment horizontal="left" vertical="top"/>
    </xf>
    <xf borderId="36" fillId="6" fontId="10" numFmtId="0" xfId="0" applyAlignment="1" applyBorder="1" applyFont="1">
      <alignment horizontal="center" vertical="top"/>
    </xf>
    <xf borderId="37" fillId="6" fontId="10" numFmtId="0" xfId="0" applyAlignment="1" applyBorder="1" applyFont="1">
      <alignment horizontal="center" vertical="top"/>
    </xf>
    <xf borderId="12" fillId="5" fontId="10" numFmtId="0" xfId="0" applyAlignment="1" applyBorder="1" applyFont="1">
      <alignment shrinkToFit="0" wrapText="1"/>
    </xf>
    <xf borderId="7" fillId="6" fontId="1" numFmtId="0" xfId="0" applyBorder="1" applyFont="1"/>
    <xf borderId="7" fillId="6" fontId="13" numFmtId="11" xfId="0" applyBorder="1" applyFont="1" applyNumberFormat="1"/>
    <xf borderId="10" fillId="6" fontId="13" numFmtId="11" xfId="0" applyBorder="1" applyFont="1" applyNumberFormat="1"/>
    <xf borderId="0" fillId="6" fontId="1" numFmtId="0" xfId="0" applyFont="1"/>
    <xf borderId="0" fillId="6" fontId="13" numFmtId="11" xfId="0" applyFont="1" applyNumberFormat="1"/>
    <xf borderId="18" fillId="6" fontId="13" numFmtId="11" xfId="0" applyBorder="1" applyFont="1" applyNumberFormat="1"/>
    <xf borderId="19" fillId="6" fontId="30" numFmtId="0" xfId="0" applyBorder="1" applyFont="1"/>
    <xf borderId="8" fillId="5" fontId="8" numFmtId="0" xfId="0" applyAlignment="1" applyBorder="1" applyFont="1">
      <alignment shrinkToFit="0" wrapText="1"/>
    </xf>
    <xf borderId="21" fillId="6" fontId="5" numFmtId="0" xfId="0" applyBorder="1" applyFont="1"/>
    <xf borderId="1" fillId="0" fontId="15" numFmtId="0" xfId="0" applyAlignment="1" applyBorder="1" applyFont="1">
      <alignment horizontal="center" vertical="top"/>
    </xf>
    <xf borderId="38" fillId="0" fontId="10" numFmtId="0" xfId="0" applyAlignment="1" applyBorder="1" applyFont="1">
      <alignment vertical="top"/>
    </xf>
    <xf borderId="38" fillId="0" fontId="10" numFmtId="0" xfId="0" applyAlignment="1" applyBorder="1" applyFont="1">
      <alignment horizontal="left" vertical="top"/>
    </xf>
    <xf borderId="38" fillId="0" fontId="10" numFmtId="0" xfId="0" applyAlignment="1" applyBorder="1" applyFont="1">
      <alignment horizontal="center" vertical="top"/>
    </xf>
    <xf borderId="39" fillId="0" fontId="10" numFmtId="0" xfId="0" applyAlignment="1" applyBorder="1" applyFont="1">
      <alignment horizontal="center" vertical="top"/>
    </xf>
    <xf borderId="20" fillId="5" fontId="10" numFmtId="0" xfId="0" applyAlignment="1" applyBorder="1" applyFont="1">
      <alignment shrinkToFit="0" wrapText="1"/>
    </xf>
    <xf borderId="2" fillId="0" fontId="5" numFmtId="0" xfId="0" applyBorder="1" applyFont="1"/>
    <xf borderId="3" fillId="0" fontId="5" numFmtId="49" xfId="0" applyBorder="1" applyFont="1" applyNumberFormat="1"/>
    <xf borderId="3" fillId="0" fontId="5" numFmtId="0" xfId="0" applyBorder="1" applyFont="1"/>
    <xf borderId="4" fillId="0" fontId="5" numFmtId="11" xfId="0" applyBorder="1" applyFont="1" applyNumberFormat="1"/>
    <xf borderId="1" fillId="0" fontId="13" numFmtId="11" xfId="0" applyBorder="1" applyFont="1" applyNumberFormat="1"/>
    <xf borderId="3" fillId="0" fontId="13" numFmtId="0" xfId="0" applyBorder="1" applyFont="1"/>
    <xf borderId="3" fillId="0" fontId="13" numFmtId="11" xfId="0" applyBorder="1" applyFont="1" applyNumberFormat="1"/>
    <xf borderId="4" fillId="0" fontId="13" numFmtId="11" xfId="0" applyBorder="1" applyFont="1" applyNumberFormat="1"/>
    <xf borderId="1" fillId="6" fontId="31" numFmtId="0" xfId="0" applyAlignment="1" applyBorder="1" applyFont="1">
      <alignment vertical="top"/>
    </xf>
    <xf borderId="1" fillId="6" fontId="31" numFmtId="0" xfId="0" applyAlignment="1" applyBorder="1" applyFont="1">
      <alignment horizontal="left" vertical="top"/>
    </xf>
    <xf borderId="1" fillId="6" fontId="31" numFmtId="0" xfId="0" applyAlignment="1" applyBorder="1" applyFont="1">
      <alignment horizontal="center" vertical="top"/>
    </xf>
    <xf borderId="7" fillId="0" fontId="13" numFmtId="11" xfId="0" applyBorder="1" applyFont="1" applyNumberFormat="1"/>
    <xf borderId="0" fillId="0" fontId="1" numFmtId="0" xfId="0" applyFont="1"/>
    <xf borderId="0" fillId="0" fontId="13" numFmtId="11" xfId="0" applyFont="1" applyNumberFormat="1"/>
    <xf borderId="18" fillId="0" fontId="13" numFmtId="11" xfId="0" applyBorder="1" applyFont="1" applyNumberFormat="1"/>
    <xf borderId="31" fillId="6" fontId="5" numFmtId="0" xfId="0" applyBorder="1" applyFont="1"/>
    <xf borderId="35" fillId="6" fontId="5" numFmtId="49" xfId="0" applyBorder="1" applyFont="1" applyNumberFormat="1"/>
    <xf borderId="35" fillId="6" fontId="5" numFmtId="0" xfId="0" applyBorder="1" applyFont="1"/>
    <xf borderId="40" fillId="6" fontId="5" numFmtId="0" xfId="0" applyBorder="1" applyFont="1"/>
    <xf borderId="7" fillId="0" fontId="32" numFmtId="0" xfId="0" applyBorder="1" applyFont="1"/>
    <xf borderId="3" fillId="0" fontId="33" numFmtId="0" xfId="0" applyBorder="1" applyFont="1"/>
    <xf borderId="10" fillId="0" fontId="5" numFmtId="11" xfId="0" applyBorder="1" applyFont="1" applyNumberFormat="1"/>
    <xf borderId="40" fillId="6" fontId="5" numFmtId="11" xfId="0" applyBorder="1" applyFont="1" applyNumberFormat="1"/>
    <xf borderId="3" fillId="0" fontId="34" numFmtId="0" xfId="0" applyBorder="1" applyFont="1"/>
    <xf borderId="20" fillId="4" fontId="15" numFmtId="0" xfId="0" applyAlignment="1" applyBorder="1" applyFont="1">
      <alignment horizontal="center" vertical="top"/>
    </xf>
    <xf borderId="1" fillId="4" fontId="31" numFmtId="0" xfId="0" applyAlignment="1" applyBorder="1" applyFont="1">
      <alignment vertical="top"/>
    </xf>
    <xf borderId="1" fillId="4" fontId="31" numFmtId="0" xfId="0" applyAlignment="1" applyBorder="1" applyFont="1">
      <alignment horizontal="left" vertical="top"/>
    </xf>
    <xf borderId="1" fillId="4" fontId="31" numFmtId="0" xfId="0" applyAlignment="1" applyBorder="1" applyFont="1">
      <alignment horizontal="center" vertical="top"/>
    </xf>
    <xf borderId="12" fillId="5" fontId="8" numFmtId="0" xfId="0" applyAlignment="1" applyBorder="1" applyFont="1">
      <alignment shrinkToFit="0" wrapText="1"/>
    </xf>
    <xf borderId="14" fillId="6" fontId="15" numFmtId="0" xfId="0" applyAlignment="1" applyBorder="1" applyFont="1">
      <alignment vertical="top"/>
    </xf>
    <xf borderId="7" fillId="0" fontId="7" numFmtId="0" xfId="0" applyBorder="1" applyFont="1"/>
    <xf borderId="10" fillId="0" fontId="7" numFmtId="0" xfId="0" applyBorder="1" applyFont="1"/>
    <xf borderId="41" fillId="4" fontId="15" numFmtId="0" xfId="0" applyAlignment="1" applyBorder="1" applyFont="1">
      <alignment horizontal="center" vertical="top"/>
    </xf>
    <xf borderId="41" fillId="2" fontId="15" numFmtId="0" xfId="0" applyAlignment="1" applyBorder="1" applyFont="1">
      <alignment vertical="top"/>
    </xf>
    <xf borderId="41" fillId="4" fontId="15" numFmtId="0" xfId="0" applyAlignment="1" applyBorder="1" applyFont="1">
      <alignment vertical="top"/>
    </xf>
    <xf borderId="41" fillId="4" fontId="15" numFmtId="0" xfId="0" applyAlignment="1" applyBorder="1" applyFont="1">
      <alignment horizontal="left" vertical="top"/>
    </xf>
    <xf borderId="28" fillId="2" fontId="15" numFmtId="0" xfId="0" applyAlignment="1" applyBorder="1" applyFont="1">
      <alignment vertical="top"/>
    </xf>
    <xf borderId="32" fillId="0" fontId="13" numFmtId="0" xfId="0" applyBorder="1" applyFont="1"/>
    <xf borderId="29" fillId="0" fontId="13" numFmtId="0" xfId="0" applyBorder="1" applyFont="1"/>
    <xf borderId="33" fillId="0" fontId="13" numFmtId="0" xfId="0" applyBorder="1" applyFont="1"/>
    <xf borderId="0" fillId="0" fontId="13" numFmtId="49" xfId="0" applyFont="1" applyNumberFormat="1"/>
    <xf borderId="14" fillId="7" fontId="35" numFmtId="0" xfId="0" applyAlignment="1" applyBorder="1" applyFill="1" applyFont="1">
      <alignment readingOrder="0"/>
    </xf>
    <xf borderId="1" fillId="0" fontId="11" numFmtId="0" xfId="0" applyAlignment="1" applyBorder="1" applyFont="1">
      <alignment readingOrder="0"/>
    </xf>
    <xf borderId="14" fillId="6" fontId="36" numFmtId="0" xfId="0" applyBorder="1" applyFont="1"/>
    <xf borderId="29" fillId="0" fontId="13" numFmtId="11" xfId="0" applyBorder="1" applyFont="1" applyNumberFormat="1"/>
    <xf borderId="0" fillId="0" fontId="7" numFmtId="0" xfId="0" applyFont="1"/>
    <xf borderId="21" fillId="8" fontId="37" numFmtId="0" xfId="0" applyBorder="1" applyFill="1" applyFont="1"/>
    <xf borderId="17" fillId="0" fontId="38" numFmtId="0" xfId="0" applyBorder="1" applyFont="1"/>
    <xf borderId="0" fillId="4" fontId="15" numFmtId="0" xfId="0" applyAlignment="1" applyFont="1">
      <alignment horizontal="center" vertical="top"/>
    </xf>
    <xf borderId="0" fillId="6" fontId="10" numFmtId="0" xfId="0" applyAlignment="1" applyFont="1">
      <alignment vertical="top"/>
    </xf>
    <xf borderId="0" fillId="6" fontId="10" numFmtId="0" xfId="0" applyAlignment="1" applyFont="1">
      <alignment horizontal="left" vertical="top"/>
    </xf>
    <xf borderId="0" fillId="6" fontId="10" numFmtId="0" xfId="0" applyAlignment="1" applyFont="1">
      <alignment horizontal="center" vertical="top"/>
    </xf>
    <xf borderId="0" fillId="0" fontId="5" numFmtId="11" xfId="0" applyFont="1" applyNumberFormat="1"/>
    <xf borderId="0" fillId="0" fontId="39" numFmtId="0" xfId="0" applyFont="1"/>
    <xf borderId="0" fillId="0" fontId="40" numFmtId="0" xfId="0" applyFont="1"/>
    <xf borderId="0" fillId="0" fontId="5" numFmtId="0" xfId="0" applyAlignment="1" applyFont="1">
      <alignment horizontal="right"/>
    </xf>
    <xf borderId="0" fillId="0" fontId="5" numFmtId="2" xfId="0" applyAlignment="1" applyFont="1" applyNumberFormat="1">
      <alignment horizontal="right"/>
    </xf>
    <xf borderId="14" fillId="9" fontId="11" numFmtId="0" xfId="0" applyBorder="1" applyFill="1" applyFont="1"/>
    <xf borderId="14" fillId="9" fontId="5" numFmtId="0" xfId="0" applyAlignment="1" applyBorder="1" applyFont="1">
      <alignment horizontal="right"/>
    </xf>
    <xf borderId="14" fillId="6" fontId="41" numFmtId="49" xfId="0" applyBorder="1" applyFont="1" applyNumberFormat="1"/>
    <xf borderId="14" fillId="2" fontId="8" numFmtId="0" xfId="0" applyBorder="1" applyFont="1"/>
    <xf borderId="14" fillId="10" fontId="8" numFmtId="0" xfId="0" applyBorder="1" applyFill="1" applyFont="1"/>
    <xf borderId="35" fillId="6" fontId="41" numFmtId="4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techinsights.com/my-library/analysis-view/PFA-2211-805" TargetMode="External"/><Relationship Id="rId2" Type="http://schemas.openxmlformats.org/officeDocument/2006/relationships/hyperlink" Target="https://library.techinsights.com/my-library/analysis-view/PFF-2206-802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61.56"/>
  </cols>
  <sheetData>
    <row r="1">
      <c r="A1" s="1" t="s">
        <v>0</v>
      </c>
    </row>
    <row r="3">
      <c r="A3" s="2" t="s">
        <v>1</v>
      </c>
    </row>
    <row r="5">
      <c r="A5" s="3" t="s">
        <v>2</v>
      </c>
    </row>
    <row r="7">
      <c r="A7" s="4" t="s">
        <v>3</v>
      </c>
    </row>
  </sheetData>
  <hyperlinks>
    <hyperlink r:id="rId1" ref="A3"/>
    <hyperlink r:id="rId2" ref="A5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34.0"/>
    <col customWidth="1" min="2" max="2" width="13.67"/>
    <col customWidth="1" min="3" max="3" width="10.56"/>
    <col customWidth="1" min="4" max="4" width="30.44"/>
    <col customWidth="1" min="5" max="5" width="24.33"/>
    <col customWidth="1" min="6" max="6" width="16.33"/>
    <col customWidth="1" min="7" max="7" width="13.44"/>
    <col customWidth="1" min="8" max="8" width="14.11"/>
    <col customWidth="1" min="9" max="9" width="1.67"/>
    <col customWidth="1" min="10" max="10" width="23.44"/>
    <col customWidth="1" min="11" max="11" width="18.33"/>
    <col customWidth="1" min="12" max="12" width="12.44"/>
    <col customWidth="1" min="13" max="13" width="17.89"/>
    <col customWidth="1" min="14" max="14" width="15.89"/>
    <col customWidth="1" min="15" max="15" width="12.67"/>
    <col customWidth="1" min="16" max="16" width="24.56"/>
    <col customWidth="1" min="17" max="17" width="22.33"/>
    <col customWidth="1" min="18" max="19" width="10.56"/>
    <col customWidth="1" min="20" max="20" width="11.78"/>
    <col customWidth="1" min="21" max="21" width="10.11"/>
    <col customWidth="1" min="22" max="44" width="10.56"/>
  </cols>
  <sheetData>
    <row r="1" ht="15.75" customHeight="1">
      <c r="K1" s="5"/>
      <c r="Q1" s="6" t="s">
        <v>4</v>
      </c>
      <c r="R1" s="7">
        <v>0.0</v>
      </c>
      <c r="S1" s="8">
        <v>0.0</v>
      </c>
      <c r="T1" s="8">
        <v>0.0</v>
      </c>
      <c r="U1" s="8">
        <v>0.0</v>
      </c>
      <c r="V1" s="8">
        <v>1.0</v>
      </c>
      <c r="W1" s="8">
        <v>1.0</v>
      </c>
      <c r="X1" s="8">
        <v>1.0</v>
      </c>
      <c r="Y1" s="8">
        <v>2.0</v>
      </c>
      <c r="Z1" s="8">
        <v>4.0</v>
      </c>
      <c r="AA1" s="8">
        <v>5.0</v>
      </c>
      <c r="AB1" s="8">
        <v>6.0</v>
      </c>
      <c r="AC1" s="8">
        <v>7.0</v>
      </c>
      <c r="AD1" s="9">
        <v>8.0</v>
      </c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</row>
    <row r="2" ht="15.75" customHeight="1">
      <c r="A2" s="11" t="s">
        <v>5</v>
      </c>
      <c r="B2" s="12" t="s">
        <v>6</v>
      </c>
      <c r="C2" s="12" t="s">
        <v>7</v>
      </c>
      <c r="D2" s="13" t="s">
        <v>8</v>
      </c>
      <c r="E2" s="13" t="s">
        <v>9</v>
      </c>
      <c r="F2" s="13" t="s">
        <v>10</v>
      </c>
      <c r="G2" s="12" t="s">
        <v>11</v>
      </c>
      <c r="H2" s="12" t="s">
        <v>12</v>
      </c>
      <c r="I2" s="14"/>
      <c r="J2" s="15" t="s">
        <v>13</v>
      </c>
      <c r="K2" s="16" t="s">
        <v>11</v>
      </c>
      <c r="L2" s="15" t="s">
        <v>14</v>
      </c>
      <c r="M2" s="15" t="s">
        <v>15</v>
      </c>
      <c r="N2" s="17" t="s">
        <v>16</v>
      </c>
      <c r="O2" s="18" t="s">
        <v>17</v>
      </c>
      <c r="Q2" s="6" t="s">
        <v>18</v>
      </c>
      <c r="R2" s="19">
        <v>36.0</v>
      </c>
      <c r="S2" s="20">
        <v>60.0</v>
      </c>
      <c r="T2" s="20">
        <v>80.0</v>
      </c>
      <c r="U2" s="20">
        <v>108.0</v>
      </c>
      <c r="V2" s="20">
        <v>148.0</v>
      </c>
      <c r="W2" s="20">
        <v>196.0</v>
      </c>
      <c r="X2" s="20">
        <v>256.0</v>
      </c>
      <c r="Y2" s="20">
        <v>356.0</v>
      </c>
      <c r="Z2" s="20">
        <v>532.0</v>
      </c>
      <c r="AA2" s="20">
        <v>660.0</v>
      </c>
      <c r="AB2" s="20">
        <v>788.0</v>
      </c>
      <c r="AC2" s="20">
        <v>916.0</v>
      </c>
      <c r="AD2" s="21">
        <v>1044.0</v>
      </c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</row>
    <row r="3" ht="15.75" customHeight="1">
      <c r="A3" s="23" t="s">
        <v>19</v>
      </c>
      <c r="B3" s="12"/>
      <c r="C3" s="12"/>
      <c r="D3" s="13"/>
      <c r="E3" s="13"/>
      <c r="F3" s="13"/>
      <c r="G3" s="24" t="s">
        <v>20</v>
      </c>
      <c r="H3" s="12"/>
      <c r="I3" s="25"/>
      <c r="J3" s="26"/>
      <c r="K3" s="5" t="s">
        <v>21</v>
      </c>
      <c r="N3" s="27">
        <v>0.0706</v>
      </c>
      <c r="O3" s="28">
        <f>'Reference Values'!D28</f>
        <v>26000</v>
      </c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30"/>
    </row>
    <row r="4" ht="15.75" customHeight="1">
      <c r="A4" s="31" t="s">
        <v>22</v>
      </c>
      <c r="B4" s="32">
        <v>6.0</v>
      </c>
      <c r="C4" s="32">
        <v>60.0</v>
      </c>
      <c r="D4" s="33" t="s">
        <v>23</v>
      </c>
      <c r="E4" s="33" t="s">
        <v>24</v>
      </c>
      <c r="F4" s="34" t="s">
        <v>25</v>
      </c>
      <c r="G4" s="32" t="s">
        <v>26</v>
      </c>
      <c r="H4" s="32" t="s">
        <v>27</v>
      </c>
      <c r="I4" s="35"/>
      <c r="J4" s="36">
        <v>242.0</v>
      </c>
      <c r="K4" s="37" t="s">
        <v>26</v>
      </c>
      <c r="L4" s="38" t="s">
        <v>28</v>
      </c>
      <c r="M4" s="38">
        <f>J4*'Reference Values'!$C$2</f>
        <v>1.7106E+19</v>
      </c>
      <c r="N4" s="39">
        <f>M4*'Reference Values'!$C$19</f>
        <v>0.05422593124</v>
      </c>
      <c r="O4" s="40">
        <f>N4*'Reference Values'!$D$19</f>
        <v>3.501479776</v>
      </c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2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</row>
    <row r="5" ht="15.75" customHeight="1">
      <c r="A5" s="31" t="s">
        <v>22</v>
      </c>
      <c r="B5" s="32">
        <v>7.0</v>
      </c>
      <c r="C5" s="32">
        <v>70.0</v>
      </c>
      <c r="D5" s="44" t="s">
        <v>29</v>
      </c>
      <c r="E5" s="33" t="s">
        <v>30</v>
      </c>
      <c r="F5" s="34" t="s">
        <v>31</v>
      </c>
      <c r="G5" s="32" t="s">
        <v>32</v>
      </c>
      <c r="H5" s="32" t="s">
        <v>33</v>
      </c>
      <c r="I5" s="45"/>
      <c r="J5" s="46">
        <v>31.0</v>
      </c>
      <c r="K5" s="47" t="s">
        <v>34</v>
      </c>
      <c r="L5" s="48" t="s">
        <v>28</v>
      </c>
      <c r="M5" s="48">
        <f>J5*'Reference Values'!$C$2</f>
        <v>2.19126E+18</v>
      </c>
      <c r="N5" s="49">
        <f>M5*'Reference Values'!$C$21</f>
        <v>0.006157443061</v>
      </c>
      <c r="O5" s="50">
        <f>N5*'Reference Values'!$D$21</f>
        <v>0.2331858407</v>
      </c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51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</row>
    <row r="6" ht="15.75" customHeight="1">
      <c r="A6" s="31" t="s">
        <v>22</v>
      </c>
      <c r="B6" s="32">
        <v>16.0</v>
      </c>
      <c r="C6" s="32">
        <v>160.0</v>
      </c>
      <c r="D6" s="33" t="s">
        <v>35</v>
      </c>
      <c r="E6" s="33" t="s">
        <v>36</v>
      </c>
      <c r="F6" s="34" t="s">
        <v>37</v>
      </c>
      <c r="G6" s="32" t="s">
        <v>34</v>
      </c>
      <c r="H6" s="32" t="s">
        <v>38</v>
      </c>
      <c r="I6" s="45"/>
      <c r="J6" s="46">
        <v>18600.0</v>
      </c>
      <c r="K6" s="47" t="s">
        <v>32</v>
      </c>
      <c r="L6" s="48" t="s">
        <v>28</v>
      </c>
      <c r="M6" s="48">
        <f>J6*'Reference Values'!$C$2</f>
        <v>1.31476E+21</v>
      </c>
      <c r="N6" s="49">
        <f>M6*'Reference Values'!$C$17</f>
        <v>1.270054804</v>
      </c>
      <c r="O6" s="50">
        <f>N6*'Reference Values'!$D$17</f>
        <v>5.334230175</v>
      </c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51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</row>
    <row r="7" ht="15.75" customHeight="1">
      <c r="A7" s="31" t="s">
        <v>22</v>
      </c>
      <c r="B7" s="32">
        <v>18.0</v>
      </c>
      <c r="C7" s="32">
        <v>180.0</v>
      </c>
      <c r="D7" s="33" t="s">
        <v>23</v>
      </c>
      <c r="E7" s="33" t="s">
        <v>24</v>
      </c>
      <c r="F7" s="34" t="s">
        <v>39</v>
      </c>
      <c r="G7" s="32" t="s">
        <v>26</v>
      </c>
      <c r="H7" s="32" t="s">
        <v>27</v>
      </c>
      <c r="I7" s="45"/>
      <c r="J7" s="46">
        <v>3434.0</v>
      </c>
      <c r="K7" s="47" t="s">
        <v>40</v>
      </c>
      <c r="L7" s="48" t="s">
        <v>28</v>
      </c>
      <c r="M7" s="48">
        <f>J7*'Reference Values'!$C$2</f>
        <v>2.42735E+20</v>
      </c>
      <c r="N7" s="49">
        <f>M7*'Reference Values'!$C$20</f>
        <v>0.5170258831</v>
      </c>
      <c r="O7" s="50">
        <f>N7*'Reference Values'!$D$20</f>
        <v>1.058074798</v>
      </c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51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</row>
    <row r="8" ht="15.75" customHeight="1">
      <c r="A8" s="31" t="s">
        <v>22</v>
      </c>
      <c r="B8" s="32">
        <v>19.0</v>
      </c>
      <c r="C8" s="32">
        <v>190.0</v>
      </c>
      <c r="D8" s="44" t="s">
        <v>41</v>
      </c>
      <c r="E8" s="33" t="s">
        <v>42</v>
      </c>
      <c r="F8" s="34" t="s">
        <v>43</v>
      </c>
      <c r="G8" s="32" t="s">
        <v>32</v>
      </c>
      <c r="H8" s="32" t="s">
        <v>44</v>
      </c>
      <c r="I8" s="45"/>
      <c r="J8" s="46">
        <v>500.0</v>
      </c>
      <c r="K8" s="47" t="s">
        <v>45</v>
      </c>
      <c r="L8" s="48" t="s">
        <v>28</v>
      </c>
      <c r="M8" s="48">
        <f>J8*'Reference Values'!$C$2</f>
        <v>3.53429E+19</v>
      </c>
      <c r="N8" s="49">
        <f>M8*'Reference Values'!$C$8</f>
        <v>0.07068583471</v>
      </c>
      <c r="O8" s="50">
        <f>N8*'Reference Values'!$D$8</f>
        <v>18</v>
      </c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51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</row>
    <row r="9" ht="15.75" customHeight="1">
      <c r="A9" s="31" t="s">
        <v>22</v>
      </c>
      <c r="B9" s="32">
        <v>24.0</v>
      </c>
      <c r="C9" s="32">
        <v>240.0</v>
      </c>
      <c r="D9" s="44" t="s">
        <v>46</v>
      </c>
      <c r="E9" s="33" t="s">
        <v>42</v>
      </c>
      <c r="F9" s="34" t="s">
        <v>47</v>
      </c>
      <c r="G9" s="32" t="s">
        <v>32</v>
      </c>
      <c r="H9" s="32" t="s">
        <v>44</v>
      </c>
      <c r="I9" s="45"/>
      <c r="J9" s="46">
        <v>23.0</v>
      </c>
      <c r="K9" s="47" t="s">
        <v>48</v>
      </c>
      <c r="L9" s="48" t="s">
        <v>28</v>
      </c>
      <c r="M9" s="48">
        <f>J9*'Reference Values'!$C$2</f>
        <v>1.62577E+18</v>
      </c>
      <c r="N9" s="49">
        <f>M9*'Reference Values'!$C$24</f>
        <v>0.007315983892</v>
      </c>
      <c r="O9" s="50">
        <f>N9*'Reference Values'!$D$24</f>
        <v>0.3484848485</v>
      </c>
      <c r="P9" s="43"/>
      <c r="Q9" s="43"/>
      <c r="R9" s="43"/>
      <c r="S9" s="52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51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</row>
    <row r="10" ht="15.75" customHeight="1">
      <c r="A10" s="31" t="s">
        <v>22</v>
      </c>
      <c r="B10" s="32">
        <v>30.0</v>
      </c>
      <c r="C10" s="32">
        <v>300.0</v>
      </c>
      <c r="D10" s="44" t="s">
        <v>49</v>
      </c>
      <c r="E10" s="33" t="s">
        <v>42</v>
      </c>
      <c r="F10" s="34" t="s">
        <v>47</v>
      </c>
      <c r="G10" s="32" t="s">
        <v>32</v>
      </c>
      <c r="H10" s="32" t="s">
        <v>44</v>
      </c>
      <c r="I10" s="45"/>
      <c r="J10" s="46">
        <v>6.0</v>
      </c>
      <c r="K10" s="47" t="s">
        <v>50</v>
      </c>
      <c r="L10" s="48" t="s">
        <v>28</v>
      </c>
      <c r="M10" s="48">
        <f>J10*'Reference Values'!$C$2</f>
        <v>4.24115E+17</v>
      </c>
      <c r="N10" s="49">
        <f>M10*'Reference Values'!$C$29</f>
        <v>0.007549247147</v>
      </c>
      <c r="O10" s="50">
        <f>N10*'Reference Values'!$D$29</f>
        <v>0.58</v>
      </c>
      <c r="P10" s="43"/>
      <c r="Q10" s="43"/>
      <c r="R10" s="43"/>
      <c r="S10" s="53"/>
      <c r="T10" s="54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51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</row>
    <row r="11" ht="15.75" customHeight="1">
      <c r="A11" s="31" t="s">
        <v>22</v>
      </c>
      <c r="B11" s="32">
        <v>36.0</v>
      </c>
      <c r="C11" s="32">
        <v>360.0</v>
      </c>
      <c r="D11" s="44" t="s">
        <v>51</v>
      </c>
      <c r="E11" s="33" t="s">
        <v>42</v>
      </c>
      <c r="F11" s="34" t="s">
        <v>47</v>
      </c>
      <c r="G11" s="32" t="s">
        <v>32</v>
      </c>
      <c r="H11" s="32" t="s">
        <v>44</v>
      </c>
      <c r="I11" s="45"/>
      <c r="J11" s="46">
        <v>3.0</v>
      </c>
      <c r="K11" s="47" t="s">
        <v>52</v>
      </c>
      <c r="L11" s="48" t="s">
        <v>28</v>
      </c>
      <c r="M11" s="48">
        <f>J11*'Reference Values'!$C$2</f>
        <v>2.12058E+17</v>
      </c>
      <c r="N11" s="49">
        <f>M11*'Reference Values'!$C$30</f>
        <v>0.003414125816</v>
      </c>
      <c r="O11" s="50">
        <f>N11*'Reference Values'!$D$30</f>
        <v>0.25</v>
      </c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51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</row>
    <row r="12" ht="15.75" customHeight="1">
      <c r="A12" s="31" t="s">
        <v>22</v>
      </c>
      <c r="B12" s="32">
        <v>40.0</v>
      </c>
      <c r="C12" s="32">
        <v>400.0</v>
      </c>
      <c r="D12" s="44" t="s">
        <v>53</v>
      </c>
      <c r="E12" s="33" t="s">
        <v>42</v>
      </c>
      <c r="F12" s="34" t="s">
        <v>47</v>
      </c>
      <c r="G12" s="32" t="s">
        <v>32</v>
      </c>
      <c r="H12" s="32" t="s">
        <v>44</v>
      </c>
      <c r="I12" s="45"/>
      <c r="J12" s="46">
        <v>867.0</v>
      </c>
      <c r="K12" s="47" t="s">
        <v>54</v>
      </c>
      <c r="L12" s="48" t="s">
        <v>28</v>
      </c>
      <c r="M12" s="48">
        <f>J12*'Reference Values'!$C$2</f>
        <v>6.12846E+19</v>
      </c>
      <c r="N12" s="49">
        <f>M12*'Reference Values'!$C$27</f>
        <v>1.182793141</v>
      </c>
      <c r="O12" s="50">
        <f>N12*'Reference Values'!$D$27</f>
        <v>89.67338052</v>
      </c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51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</row>
    <row r="13" ht="15.75" customHeight="1">
      <c r="A13" s="31" t="s">
        <v>22</v>
      </c>
      <c r="B13" s="32">
        <v>46.0</v>
      </c>
      <c r="C13" s="32">
        <v>460.0</v>
      </c>
      <c r="D13" s="44" t="s">
        <v>55</v>
      </c>
      <c r="E13" s="33" t="s">
        <v>42</v>
      </c>
      <c r="F13" s="34" t="s">
        <v>47</v>
      </c>
      <c r="G13" s="32" t="s">
        <v>32</v>
      </c>
      <c r="H13" s="32" t="s">
        <v>44</v>
      </c>
      <c r="I13" s="45"/>
      <c r="J13" s="46">
        <v>30.0</v>
      </c>
      <c r="K13" s="47" t="s">
        <v>56</v>
      </c>
      <c r="L13" s="48" t="s">
        <v>28</v>
      </c>
      <c r="M13" s="48">
        <f>J13*'Reference Values'!$C$2</f>
        <v>2.12058E+18</v>
      </c>
      <c r="N13" s="49">
        <f>M13*'Reference Values'!$C$26</f>
        <v>0.01104819596</v>
      </c>
      <c r="O13" s="50">
        <f>N13*'Reference Values'!$D$26</f>
        <v>0.4858757063</v>
      </c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51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</row>
    <row r="14" ht="15.75" customHeight="1">
      <c r="A14" s="31" t="s">
        <v>22</v>
      </c>
      <c r="B14" s="32">
        <v>52.0</v>
      </c>
      <c r="C14" s="32">
        <v>520.0</v>
      </c>
      <c r="D14" s="44" t="s">
        <v>57</v>
      </c>
      <c r="E14" s="33" t="s">
        <v>42</v>
      </c>
      <c r="F14" s="34" t="s">
        <v>31</v>
      </c>
      <c r="G14" s="32" t="s">
        <v>32</v>
      </c>
      <c r="H14" s="32" t="s">
        <v>44</v>
      </c>
      <c r="I14" s="45"/>
      <c r="J14" s="46"/>
      <c r="K14" s="47"/>
      <c r="L14" s="48"/>
      <c r="M14" s="48"/>
      <c r="N14" s="55"/>
      <c r="O14" s="56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51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</row>
    <row r="15" ht="15.75" customHeight="1">
      <c r="A15" s="31" t="s">
        <v>22</v>
      </c>
      <c r="B15" s="32">
        <v>56.0</v>
      </c>
      <c r="C15" s="32">
        <v>560.0</v>
      </c>
      <c r="D15" s="44" t="s">
        <v>58</v>
      </c>
      <c r="E15" s="33" t="s">
        <v>42</v>
      </c>
      <c r="F15" s="34" t="s">
        <v>31</v>
      </c>
      <c r="G15" s="32" t="s">
        <v>32</v>
      </c>
      <c r="H15" s="32" t="s">
        <v>44</v>
      </c>
      <c r="I15" s="45"/>
      <c r="J15" s="46"/>
      <c r="K15" s="47"/>
      <c r="L15" s="48"/>
      <c r="M15" s="48"/>
      <c r="N15" s="55"/>
      <c r="O15" s="56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51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</row>
    <row r="16" ht="15.75" customHeight="1">
      <c r="A16" s="31" t="s">
        <v>22</v>
      </c>
      <c r="B16" s="32">
        <v>60.0</v>
      </c>
      <c r="C16" s="32">
        <v>600.0</v>
      </c>
      <c r="D16" s="44" t="s">
        <v>59</v>
      </c>
      <c r="E16" s="33" t="s">
        <v>60</v>
      </c>
      <c r="F16" s="34" t="s">
        <v>47</v>
      </c>
      <c r="G16" s="32" t="s">
        <v>32</v>
      </c>
      <c r="H16" s="32" t="s">
        <v>61</v>
      </c>
      <c r="I16" s="45"/>
      <c r="J16" s="46"/>
      <c r="K16" s="47"/>
      <c r="L16" s="48"/>
      <c r="M16" s="48"/>
      <c r="N16" s="57"/>
      <c r="O16" s="56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51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</row>
    <row r="17" ht="15.75" customHeight="1">
      <c r="A17" s="31" t="s">
        <v>22</v>
      </c>
      <c r="B17" s="32">
        <v>66.0</v>
      </c>
      <c r="C17" s="32">
        <v>660.0</v>
      </c>
      <c r="D17" s="44" t="s">
        <v>62</v>
      </c>
      <c r="E17" s="33" t="s">
        <v>42</v>
      </c>
      <c r="F17" s="34" t="s">
        <v>31</v>
      </c>
      <c r="G17" s="32" t="s">
        <v>32</v>
      </c>
      <c r="H17" s="32" t="s">
        <v>44</v>
      </c>
      <c r="I17" s="45"/>
      <c r="J17" s="46"/>
      <c r="K17" s="47"/>
      <c r="L17" s="48"/>
      <c r="M17" s="48"/>
      <c r="N17" s="55"/>
      <c r="O17" s="56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51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</row>
    <row r="18" ht="15.75" customHeight="1">
      <c r="A18" s="31" t="s">
        <v>22</v>
      </c>
      <c r="B18" s="32">
        <v>71.0</v>
      </c>
      <c r="C18" s="32">
        <v>710.0</v>
      </c>
      <c r="D18" s="44" t="s">
        <v>63</v>
      </c>
      <c r="E18" s="33" t="s">
        <v>42</v>
      </c>
      <c r="F18" s="34" t="s">
        <v>47</v>
      </c>
      <c r="G18" s="32" t="s">
        <v>32</v>
      </c>
      <c r="H18" s="32" t="s">
        <v>44</v>
      </c>
      <c r="I18" s="45"/>
      <c r="J18" s="46"/>
      <c r="K18" s="47"/>
      <c r="L18" s="48"/>
      <c r="M18" s="48"/>
      <c r="N18" s="55"/>
      <c r="O18" s="56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51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</row>
    <row r="19" ht="15.75" customHeight="1">
      <c r="A19" s="31" t="s">
        <v>22</v>
      </c>
      <c r="B19" s="32">
        <v>77.0</v>
      </c>
      <c r="C19" s="32">
        <v>770.0</v>
      </c>
      <c r="D19" s="33" t="s">
        <v>64</v>
      </c>
      <c r="E19" s="33" t="s">
        <v>65</v>
      </c>
      <c r="F19" s="34" t="s">
        <v>66</v>
      </c>
      <c r="G19" s="32" t="s">
        <v>40</v>
      </c>
      <c r="H19" s="32" t="s">
        <v>67</v>
      </c>
      <c r="I19" s="45"/>
      <c r="J19" s="46"/>
      <c r="K19" s="47"/>
      <c r="L19" s="48"/>
      <c r="M19" s="48"/>
      <c r="N19" s="55"/>
      <c r="O19" s="56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51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</row>
    <row r="20" ht="15.75" customHeight="1">
      <c r="A20" s="31" t="s">
        <v>22</v>
      </c>
      <c r="B20" s="32">
        <v>88.0</v>
      </c>
      <c r="C20" s="32">
        <v>880.0</v>
      </c>
      <c r="D20" s="33" t="s">
        <v>68</v>
      </c>
      <c r="E20" s="33" t="s">
        <v>24</v>
      </c>
      <c r="F20" s="34" t="s">
        <v>69</v>
      </c>
      <c r="G20" s="32" t="s">
        <v>26</v>
      </c>
      <c r="H20" s="32" t="s">
        <v>27</v>
      </c>
      <c r="I20" s="45"/>
      <c r="J20" s="46"/>
      <c r="K20" s="47"/>
      <c r="L20" s="48"/>
      <c r="M20" s="48"/>
      <c r="N20" s="55"/>
      <c r="O20" s="56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51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</row>
    <row r="21" ht="15.75" customHeight="1">
      <c r="A21" s="31" t="s">
        <v>22</v>
      </c>
      <c r="B21" s="32">
        <v>89.0</v>
      </c>
      <c r="C21" s="32">
        <v>890.0</v>
      </c>
      <c r="D21" s="33" t="s">
        <v>70</v>
      </c>
      <c r="E21" s="33" t="s">
        <v>71</v>
      </c>
      <c r="F21" s="34" t="s">
        <v>72</v>
      </c>
      <c r="G21" s="32" t="s">
        <v>40</v>
      </c>
      <c r="H21" s="32" t="s">
        <v>73</v>
      </c>
      <c r="I21" s="45"/>
      <c r="J21" s="46"/>
      <c r="K21" s="47"/>
      <c r="L21" s="48"/>
      <c r="M21" s="48"/>
      <c r="N21" s="55"/>
      <c r="O21" s="56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51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</row>
    <row r="22" ht="15.75" customHeight="1">
      <c r="A22" s="31" t="s">
        <v>22</v>
      </c>
      <c r="B22" s="32">
        <v>90.0</v>
      </c>
      <c r="C22" s="32">
        <v>900.0</v>
      </c>
      <c r="D22" s="44" t="s">
        <v>74</v>
      </c>
      <c r="E22" s="33" t="s">
        <v>30</v>
      </c>
      <c r="F22" s="34" t="s">
        <v>31</v>
      </c>
      <c r="G22" s="32" t="s">
        <v>32</v>
      </c>
      <c r="H22" s="32" t="s">
        <v>33</v>
      </c>
      <c r="I22" s="45"/>
      <c r="J22" s="46"/>
      <c r="K22" s="47"/>
      <c r="L22" s="48"/>
      <c r="M22" s="48"/>
      <c r="N22" s="55"/>
      <c r="O22" s="56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51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</row>
    <row r="23" ht="15.75" customHeight="1">
      <c r="A23" s="31" t="s">
        <v>22</v>
      </c>
      <c r="B23" s="32">
        <v>96.0</v>
      </c>
      <c r="C23" s="32">
        <v>960.0</v>
      </c>
      <c r="D23" s="44" t="s">
        <v>75</v>
      </c>
      <c r="E23" s="33" t="s">
        <v>60</v>
      </c>
      <c r="F23" s="34" t="s">
        <v>31</v>
      </c>
      <c r="G23" s="32" t="s">
        <v>32</v>
      </c>
      <c r="H23" s="32" t="s">
        <v>61</v>
      </c>
      <c r="I23" s="45"/>
      <c r="J23" s="46"/>
      <c r="K23" s="47"/>
      <c r="L23" s="48"/>
      <c r="M23" s="48"/>
      <c r="N23" s="55"/>
      <c r="O23" s="56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51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</row>
    <row r="24" ht="15.75" customHeight="1">
      <c r="A24" s="31" t="s">
        <v>22</v>
      </c>
      <c r="B24" s="32">
        <v>103.0</v>
      </c>
      <c r="C24" s="32">
        <v>1040.0</v>
      </c>
      <c r="D24" s="44" t="s">
        <v>76</v>
      </c>
      <c r="E24" s="33" t="s">
        <v>30</v>
      </c>
      <c r="F24" s="34" t="s">
        <v>31</v>
      </c>
      <c r="G24" s="32" t="s">
        <v>32</v>
      </c>
      <c r="H24" s="32" t="s">
        <v>33</v>
      </c>
      <c r="I24" s="45"/>
      <c r="J24" s="46"/>
      <c r="K24" s="47"/>
      <c r="L24" s="48"/>
      <c r="M24" s="48"/>
      <c r="N24" s="55"/>
      <c r="O24" s="56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51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</row>
    <row r="25" ht="15.75" customHeight="1">
      <c r="A25" s="31" t="s">
        <v>22</v>
      </c>
      <c r="B25" s="32">
        <v>108.0</v>
      </c>
      <c r="C25" s="32">
        <v>1090.0</v>
      </c>
      <c r="D25" s="44" t="s">
        <v>77</v>
      </c>
      <c r="E25" s="33" t="s">
        <v>30</v>
      </c>
      <c r="F25" s="34" t="s">
        <v>31</v>
      </c>
      <c r="G25" s="32" t="s">
        <v>32</v>
      </c>
      <c r="H25" s="32" t="s">
        <v>33</v>
      </c>
      <c r="I25" s="45"/>
      <c r="J25" s="46"/>
      <c r="K25" s="47"/>
      <c r="L25" s="48"/>
      <c r="M25" s="48"/>
      <c r="N25" s="55"/>
      <c r="O25" s="56"/>
      <c r="P25" s="43"/>
      <c r="Q25" s="43"/>
      <c r="R25" s="43"/>
      <c r="S25" s="58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51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</row>
    <row r="26" ht="15.75" customHeight="1">
      <c r="A26" s="31" t="s">
        <v>22</v>
      </c>
      <c r="B26" s="32">
        <v>113.0</v>
      </c>
      <c r="C26" s="32">
        <v>1140.0</v>
      </c>
      <c r="D26" s="33" t="s">
        <v>78</v>
      </c>
      <c r="E26" s="33" t="s">
        <v>79</v>
      </c>
      <c r="F26" s="34" t="s">
        <v>80</v>
      </c>
      <c r="G26" s="32" t="s">
        <v>26</v>
      </c>
      <c r="H26" s="32" t="s">
        <v>73</v>
      </c>
      <c r="I26" s="45"/>
      <c r="J26" s="46"/>
      <c r="K26" s="47"/>
      <c r="L26" s="48"/>
      <c r="M26" s="48"/>
      <c r="N26" s="55"/>
      <c r="O26" s="56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51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</row>
    <row r="27" ht="15.75" customHeight="1">
      <c r="A27" s="31" t="s">
        <v>22</v>
      </c>
      <c r="B27" s="32">
        <v>114.0</v>
      </c>
      <c r="C27" s="32">
        <v>1150.0</v>
      </c>
      <c r="D27" s="33" t="s">
        <v>81</v>
      </c>
      <c r="E27" s="33" t="s">
        <v>71</v>
      </c>
      <c r="F27" s="34" t="s">
        <v>82</v>
      </c>
      <c r="G27" s="32" t="s">
        <v>40</v>
      </c>
      <c r="H27" s="32" t="s">
        <v>73</v>
      </c>
      <c r="I27" s="45"/>
      <c r="J27" s="46"/>
      <c r="K27" s="47"/>
      <c r="L27" s="48"/>
      <c r="M27" s="48"/>
      <c r="N27" s="55"/>
      <c r="O27" s="56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51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</row>
    <row r="28" ht="15.75" customHeight="1">
      <c r="A28" s="31" t="s">
        <v>22</v>
      </c>
      <c r="B28" s="32">
        <v>118.0</v>
      </c>
      <c r="C28" s="32">
        <v>1190.0</v>
      </c>
      <c r="D28" s="44" t="s">
        <v>83</v>
      </c>
      <c r="E28" s="33" t="s">
        <v>30</v>
      </c>
      <c r="F28" s="34" t="s">
        <v>31</v>
      </c>
      <c r="G28" s="32" t="s">
        <v>32</v>
      </c>
      <c r="H28" s="32" t="s">
        <v>33</v>
      </c>
      <c r="I28" s="45"/>
      <c r="J28" s="46"/>
      <c r="K28" s="47"/>
      <c r="L28" s="48"/>
      <c r="M28" s="48"/>
      <c r="N28" s="55"/>
      <c r="O28" s="56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51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</row>
    <row r="29" ht="15.75" customHeight="1">
      <c r="A29" s="31" t="s">
        <v>22</v>
      </c>
      <c r="B29" s="32">
        <v>123.0</v>
      </c>
      <c r="C29" s="32">
        <v>1240.0</v>
      </c>
      <c r="D29" s="44" t="s">
        <v>84</v>
      </c>
      <c r="E29" s="33" t="s">
        <v>30</v>
      </c>
      <c r="F29" s="34" t="s">
        <v>31</v>
      </c>
      <c r="G29" s="32" t="s">
        <v>32</v>
      </c>
      <c r="H29" s="32" t="s">
        <v>33</v>
      </c>
      <c r="I29" s="45"/>
      <c r="J29" s="46"/>
      <c r="K29" s="47"/>
      <c r="L29" s="48"/>
      <c r="M29" s="48"/>
      <c r="N29" s="55"/>
      <c r="O29" s="56"/>
      <c r="P29" s="43"/>
      <c r="Q29" s="43"/>
      <c r="R29" s="43"/>
      <c r="S29" s="59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51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</row>
    <row r="30" ht="15.75" customHeight="1">
      <c r="A30" s="31" t="s">
        <v>22</v>
      </c>
      <c r="B30" s="32">
        <v>128.0</v>
      </c>
      <c r="C30" s="32">
        <v>1290.0</v>
      </c>
      <c r="D30" s="33" t="s">
        <v>85</v>
      </c>
      <c r="E30" s="33" t="s">
        <v>71</v>
      </c>
      <c r="F30" s="34" t="s">
        <v>69</v>
      </c>
      <c r="G30" s="32" t="s">
        <v>40</v>
      </c>
      <c r="H30" s="32" t="s">
        <v>73</v>
      </c>
      <c r="I30" s="45"/>
      <c r="J30" s="46"/>
      <c r="K30" s="47"/>
      <c r="L30" s="48"/>
      <c r="M30" s="48"/>
      <c r="N30" s="55"/>
      <c r="O30" s="56"/>
      <c r="P30" s="43"/>
      <c r="Q30" s="43"/>
      <c r="R30" s="43"/>
      <c r="S30" s="53"/>
      <c r="T30" s="54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51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</row>
    <row r="31" ht="15.75" customHeight="1">
      <c r="A31" s="31" t="s">
        <v>22</v>
      </c>
      <c r="B31" s="32">
        <v>129.0</v>
      </c>
      <c r="C31" s="32">
        <v>1300.0</v>
      </c>
      <c r="D31" s="33" t="s">
        <v>86</v>
      </c>
      <c r="E31" s="33" t="s">
        <v>79</v>
      </c>
      <c r="F31" s="34" t="s">
        <v>87</v>
      </c>
      <c r="G31" s="32" t="s">
        <v>26</v>
      </c>
      <c r="H31" s="32" t="s">
        <v>73</v>
      </c>
      <c r="I31" s="45"/>
      <c r="J31" s="46"/>
      <c r="K31" s="47"/>
      <c r="L31" s="48"/>
      <c r="M31" s="48"/>
      <c r="N31" s="55"/>
      <c r="O31" s="56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51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</row>
    <row r="32" ht="15.75" customHeight="1">
      <c r="A32" s="31" t="s">
        <v>22</v>
      </c>
      <c r="B32" s="32">
        <v>130.0</v>
      </c>
      <c r="C32" s="32">
        <v>1310.0</v>
      </c>
      <c r="D32" s="33" t="s">
        <v>88</v>
      </c>
      <c r="E32" s="33" t="s">
        <v>71</v>
      </c>
      <c r="F32" s="34" t="s">
        <v>89</v>
      </c>
      <c r="G32" s="32" t="s">
        <v>40</v>
      </c>
      <c r="H32" s="32" t="s">
        <v>73</v>
      </c>
      <c r="I32" s="45"/>
      <c r="J32" s="46"/>
      <c r="K32" s="47"/>
      <c r="L32" s="48"/>
      <c r="M32" s="48"/>
      <c r="N32" s="55"/>
      <c r="O32" s="56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51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</row>
    <row r="33" ht="15.75" customHeight="1">
      <c r="A33" s="31" t="s">
        <v>22</v>
      </c>
      <c r="B33" s="32">
        <v>133.0</v>
      </c>
      <c r="C33" s="32">
        <v>1340.0</v>
      </c>
      <c r="D33" s="44" t="s">
        <v>90</v>
      </c>
      <c r="E33" s="33" t="s">
        <v>60</v>
      </c>
      <c r="F33" s="34" t="s">
        <v>47</v>
      </c>
      <c r="G33" s="32" t="s">
        <v>32</v>
      </c>
      <c r="H33" s="32" t="s">
        <v>61</v>
      </c>
      <c r="I33" s="45"/>
      <c r="J33" s="46"/>
      <c r="K33" s="47"/>
      <c r="L33" s="48"/>
      <c r="M33" s="48"/>
      <c r="N33" s="55"/>
      <c r="O33" s="56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51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</row>
    <row r="34" ht="15.75" customHeight="1">
      <c r="A34" s="31" t="s">
        <v>22</v>
      </c>
      <c r="B34" s="32">
        <v>145.0</v>
      </c>
      <c r="C34" s="32">
        <v>1460.0</v>
      </c>
      <c r="D34" s="34" t="s">
        <v>91</v>
      </c>
      <c r="E34" s="34" t="s">
        <v>92</v>
      </c>
      <c r="F34" s="34" t="s">
        <v>93</v>
      </c>
      <c r="G34" s="32" t="s">
        <v>45</v>
      </c>
      <c r="H34" s="32" t="s">
        <v>94</v>
      </c>
      <c r="I34" s="45"/>
      <c r="J34" s="46"/>
      <c r="K34" s="47"/>
      <c r="L34" s="48"/>
      <c r="M34" s="48"/>
      <c r="N34" s="55"/>
      <c r="O34" s="56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51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</row>
    <row r="35" ht="15.75" customHeight="1">
      <c r="A35" s="31" t="s">
        <v>22</v>
      </c>
      <c r="B35" s="32">
        <v>146.0</v>
      </c>
      <c r="C35" s="32">
        <v>1470.0</v>
      </c>
      <c r="D35" s="34" t="s">
        <v>95</v>
      </c>
      <c r="E35" s="33" t="s">
        <v>96</v>
      </c>
      <c r="F35" s="34" t="s">
        <v>25</v>
      </c>
      <c r="G35" s="32" t="s">
        <v>34</v>
      </c>
      <c r="H35" s="32" t="s">
        <v>73</v>
      </c>
      <c r="I35" s="45"/>
      <c r="J35" s="46"/>
      <c r="K35" s="47"/>
      <c r="L35" s="48"/>
      <c r="M35" s="48"/>
      <c r="N35" s="55"/>
      <c r="O35" s="56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51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</row>
    <row r="36" ht="15.75" customHeight="1">
      <c r="A36" s="31" t="s">
        <v>22</v>
      </c>
      <c r="B36" s="32">
        <v>148.0</v>
      </c>
      <c r="C36" s="32">
        <v>1490.0</v>
      </c>
      <c r="D36" s="60" t="s">
        <v>97</v>
      </c>
      <c r="E36" s="34" t="s">
        <v>98</v>
      </c>
      <c r="F36" s="34" t="s">
        <v>99</v>
      </c>
      <c r="G36" s="32" t="s">
        <v>100</v>
      </c>
      <c r="H36" s="32" t="s">
        <v>101</v>
      </c>
      <c r="I36" s="45"/>
      <c r="J36" s="46"/>
      <c r="K36" s="47"/>
      <c r="L36" s="48"/>
      <c r="M36" s="48"/>
      <c r="N36" s="55"/>
      <c r="O36" s="56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51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</row>
    <row r="37" ht="15.75" customHeight="1">
      <c r="A37" s="31" t="s">
        <v>22</v>
      </c>
      <c r="B37" s="32">
        <v>158.0</v>
      </c>
      <c r="C37" s="32">
        <v>1590.0</v>
      </c>
      <c r="D37" s="33" t="s">
        <v>102</v>
      </c>
      <c r="E37" s="33" t="s">
        <v>79</v>
      </c>
      <c r="F37" s="34" t="s">
        <v>103</v>
      </c>
      <c r="G37" s="32" t="s">
        <v>26</v>
      </c>
      <c r="H37" s="32" t="s">
        <v>73</v>
      </c>
      <c r="I37" s="45"/>
      <c r="J37" s="46"/>
      <c r="K37" s="47"/>
      <c r="L37" s="48"/>
      <c r="M37" s="48"/>
      <c r="N37" s="55"/>
      <c r="O37" s="56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51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</row>
    <row r="38" ht="15.75" customHeight="1">
      <c r="A38" s="31" t="s">
        <v>22</v>
      </c>
      <c r="B38" s="32">
        <v>159.0</v>
      </c>
      <c r="C38" s="32">
        <v>1600.0</v>
      </c>
      <c r="D38" s="33" t="s">
        <v>104</v>
      </c>
      <c r="E38" s="33" t="s">
        <v>71</v>
      </c>
      <c r="F38" s="34" t="s">
        <v>105</v>
      </c>
      <c r="G38" s="32" t="s">
        <v>40</v>
      </c>
      <c r="H38" s="32" t="s">
        <v>73</v>
      </c>
      <c r="I38" s="45"/>
      <c r="J38" s="46"/>
      <c r="K38" s="47"/>
      <c r="L38" s="48"/>
      <c r="M38" s="48"/>
      <c r="N38" s="55"/>
      <c r="O38" s="56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51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</row>
    <row r="39" ht="15.75" customHeight="1">
      <c r="A39" s="31" t="s">
        <v>22</v>
      </c>
      <c r="B39" s="32">
        <v>160.0</v>
      </c>
      <c r="C39" s="32">
        <v>1610.0</v>
      </c>
      <c r="D39" s="44" t="s">
        <v>106</v>
      </c>
      <c r="E39" s="33" t="s">
        <v>60</v>
      </c>
      <c r="F39" s="34" t="s">
        <v>31</v>
      </c>
      <c r="G39" s="32" t="s">
        <v>32</v>
      </c>
      <c r="H39" s="32" t="s">
        <v>61</v>
      </c>
      <c r="I39" s="45"/>
      <c r="J39" s="46"/>
      <c r="K39" s="47"/>
      <c r="L39" s="48"/>
      <c r="M39" s="48"/>
      <c r="N39" s="55"/>
      <c r="O39" s="56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51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</row>
    <row r="40" ht="15.75" customHeight="1">
      <c r="A40" s="31" t="s">
        <v>22</v>
      </c>
      <c r="B40" s="32">
        <v>164.0</v>
      </c>
      <c r="C40" s="32">
        <v>1650.0</v>
      </c>
      <c r="D40" s="60" t="s">
        <v>107</v>
      </c>
      <c r="E40" s="34" t="s">
        <v>30</v>
      </c>
      <c r="F40" s="34" t="s">
        <v>31</v>
      </c>
      <c r="G40" s="32" t="s">
        <v>32</v>
      </c>
      <c r="H40" s="32" t="s">
        <v>33</v>
      </c>
      <c r="I40" s="45"/>
      <c r="J40" s="46"/>
      <c r="K40" s="47"/>
      <c r="L40" s="48"/>
      <c r="M40" s="48"/>
      <c r="N40" s="55"/>
      <c r="O40" s="56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51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</row>
    <row r="41" ht="15.75" customHeight="1">
      <c r="A41" s="31" t="s">
        <v>22</v>
      </c>
      <c r="B41" s="32">
        <v>173.0</v>
      </c>
      <c r="C41" s="32">
        <v>1740.0</v>
      </c>
      <c r="D41" s="33" t="s">
        <v>108</v>
      </c>
      <c r="E41" s="33" t="s">
        <v>109</v>
      </c>
      <c r="F41" s="34" t="s">
        <v>110</v>
      </c>
      <c r="G41" s="32" t="s">
        <v>26</v>
      </c>
      <c r="H41" s="32" t="s">
        <v>73</v>
      </c>
      <c r="I41" s="45"/>
      <c r="J41" s="46"/>
      <c r="K41" s="47"/>
      <c r="L41" s="48"/>
      <c r="M41" s="48"/>
      <c r="N41" s="55"/>
      <c r="O41" s="56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51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</row>
    <row r="42" ht="15.75" customHeight="1">
      <c r="A42" s="31" t="s">
        <v>22</v>
      </c>
      <c r="B42" s="32">
        <v>174.0</v>
      </c>
      <c r="C42" s="32">
        <v>1750.0</v>
      </c>
      <c r="D42" s="33" t="s">
        <v>111</v>
      </c>
      <c r="E42" s="33" t="s">
        <v>112</v>
      </c>
      <c r="F42" s="34" t="s">
        <v>113</v>
      </c>
      <c r="G42" s="32" t="s">
        <v>40</v>
      </c>
      <c r="H42" s="32" t="s">
        <v>73</v>
      </c>
      <c r="I42" s="45"/>
      <c r="J42" s="46"/>
      <c r="K42" s="47"/>
      <c r="L42" s="48"/>
      <c r="M42" s="48"/>
      <c r="N42" s="55"/>
      <c r="O42" s="56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51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</row>
    <row r="43" ht="15.75" customHeight="1">
      <c r="A43" s="31" t="s">
        <v>22</v>
      </c>
      <c r="B43" s="32">
        <v>175.0</v>
      </c>
      <c r="C43" s="32">
        <v>1760.0</v>
      </c>
      <c r="D43" s="44" t="s">
        <v>114</v>
      </c>
      <c r="E43" s="33" t="s">
        <v>60</v>
      </c>
      <c r="F43" s="34" t="s">
        <v>31</v>
      </c>
      <c r="G43" s="32" t="s">
        <v>32</v>
      </c>
      <c r="H43" s="32" t="s">
        <v>61</v>
      </c>
      <c r="I43" s="45"/>
      <c r="J43" s="46"/>
      <c r="K43" s="47"/>
      <c r="L43" s="48"/>
      <c r="M43" s="48"/>
      <c r="N43" s="55"/>
      <c r="O43" s="56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51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</row>
    <row r="44" ht="15.75" customHeight="1">
      <c r="A44" s="31" t="s">
        <v>22</v>
      </c>
      <c r="B44" s="32">
        <v>179.0</v>
      </c>
      <c r="C44" s="32">
        <v>1800.0</v>
      </c>
      <c r="D44" s="34" t="s">
        <v>115</v>
      </c>
      <c r="E44" s="34" t="s">
        <v>30</v>
      </c>
      <c r="F44" s="34" t="s">
        <v>116</v>
      </c>
      <c r="G44" s="32" t="s">
        <v>32</v>
      </c>
      <c r="H44" s="32" t="s">
        <v>33</v>
      </c>
      <c r="I44" s="45"/>
      <c r="J44" s="46"/>
      <c r="K44" s="47"/>
      <c r="L44" s="48"/>
      <c r="M44" s="48"/>
      <c r="N44" s="55"/>
      <c r="O44" s="56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51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</row>
    <row r="45" ht="15.75" customHeight="1">
      <c r="A45" s="31" t="s">
        <v>22</v>
      </c>
      <c r="B45" s="32">
        <v>188.0</v>
      </c>
      <c r="C45" s="32">
        <v>1890.0</v>
      </c>
      <c r="D45" s="33" t="s">
        <v>117</v>
      </c>
      <c r="E45" s="33" t="s">
        <v>118</v>
      </c>
      <c r="F45" s="34" t="s">
        <v>119</v>
      </c>
      <c r="G45" s="32" t="s">
        <v>120</v>
      </c>
      <c r="H45" s="32" t="s">
        <v>73</v>
      </c>
      <c r="I45" s="45"/>
      <c r="J45" s="46"/>
      <c r="K45" s="47"/>
      <c r="L45" s="48"/>
      <c r="M45" s="48"/>
      <c r="N45" s="55"/>
      <c r="O45" s="56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51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</row>
    <row r="46" ht="15.75" customHeight="1">
      <c r="A46" s="61" t="s">
        <v>22</v>
      </c>
      <c r="B46" s="32">
        <v>189.0</v>
      </c>
      <c r="C46" s="32">
        <v>1900.0</v>
      </c>
      <c r="D46" s="33" t="s">
        <v>121</v>
      </c>
      <c r="E46" s="33" t="s">
        <v>71</v>
      </c>
      <c r="F46" s="34" t="s">
        <v>122</v>
      </c>
      <c r="G46" s="32" t="s">
        <v>40</v>
      </c>
      <c r="H46" s="62" t="s">
        <v>73</v>
      </c>
      <c r="I46" s="63"/>
      <c r="J46" s="46"/>
      <c r="K46" s="47"/>
      <c r="L46" s="48"/>
      <c r="M46" s="48"/>
      <c r="N46" s="55"/>
      <c r="O46" s="56"/>
      <c r="P46" s="43"/>
      <c r="Q46" s="43"/>
      <c r="R46" s="43"/>
      <c r="S46" s="58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51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</row>
    <row r="47" ht="15.75" customHeight="1">
      <c r="A47" s="31" t="s">
        <v>22</v>
      </c>
      <c r="B47" s="32">
        <v>84.0</v>
      </c>
      <c r="C47" s="32">
        <v>840.0</v>
      </c>
      <c r="D47" s="33" t="s">
        <v>123</v>
      </c>
      <c r="E47" s="33" t="s">
        <v>124</v>
      </c>
      <c r="F47" s="34" t="s">
        <v>69</v>
      </c>
      <c r="G47" s="32" t="s">
        <v>48</v>
      </c>
      <c r="H47" s="32" t="s">
        <v>125</v>
      </c>
      <c r="I47" s="64"/>
      <c r="J47" s="46"/>
      <c r="K47" s="47"/>
      <c r="L47" s="48"/>
      <c r="M47" s="48"/>
      <c r="N47" s="55"/>
      <c r="O47" s="56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51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</row>
    <row r="48" ht="15.75" customHeight="1">
      <c r="A48" s="31" t="s">
        <v>22</v>
      </c>
      <c r="B48" s="32">
        <v>85.0</v>
      </c>
      <c r="C48" s="32">
        <v>850.0</v>
      </c>
      <c r="D48" s="33" t="s">
        <v>126</v>
      </c>
      <c r="E48" s="33" t="s">
        <v>127</v>
      </c>
      <c r="F48" s="34" t="s">
        <v>80</v>
      </c>
      <c r="G48" s="32" t="s">
        <v>50</v>
      </c>
      <c r="H48" s="32" t="s">
        <v>125</v>
      </c>
      <c r="I48" s="64"/>
      <c r="J48" s="46"/>
      <c r="K48" s="47"/>
      <c r="L48" s="48"/>
      <c r="M48" s="48"/>
      <c r="N48" s="55"/>
      <c r="O48" s="56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51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</row>
    <row r="49" ht="15.75" customHeight="1">
      <c r="A49" s="31" t="s">
        <v>22</v>
      </c>
      <c r="B49" s="32">
        <v>86.0</v>
      </c>
      <c r="C49" s="32">
        <v>860.0</v>
      </c>
      <c r="D49" s="33" t="s">
        <v>128</v>
      </c>
      <c r="E49" s="33" t="s">
        <v>129</v>
      </c>
      <c r="F49" s="34" t="s">
        <v>69</v>
      </c>
      <c r="G49" s="32" t="s">
        <v>52</v>
      </c>
      <c r="H49" s="32" t="s">
        <v>125</v>
      </c>
      <c r="I49" s="64"/>
      <c r="J49" s="46"/>
      <c r="K49" s="47"/>
      <c r="L49" s="48"/>
      <c r="M49" s="48"/>
      <c r="N49" s="55"/>
      <c r="O49" s="56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51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</row>
    <row r="50" ht="15.75" customHeight="1">
      <c r="A50" s="31" t="s">
        <v>22</v>
      </c>
      <c r="B50" s="32">
        <v>87.0</v>
      </c>
      <c r="C50" s="32">
        <v>870.0</v>
      </c>
      <c r="D50" s="33" t="s">
        <v>130</v>
      </c>
      <c r="E50" s="33" t="s">
        <v>131</v>
      </c>
      <c r="F50" s="34" t="s">
        <v>87</v>
      </c>
      <c r="G50" s="32" t="s">
        <v>54</v>
      </c>
      <c r="H50" s="32" t="s">
        <v>73</v>
      </c>
      <c r="I50" s="64"/>
      <c r="J50" s="46"/>
      <c r="K50" s="47"/>
      <c r="L50" s="48"/>
      <c r="M50" s="48"/>
      <c r="N50" s="55"/>
      <c r="O50" s="56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51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</row>
    <row r="51" ht="15.75" customHeight="1">
      <c r="A51" s="31" t="s">
        <v>22</v>
      </c>
      <c r="B51" s="32">
        <v>140.0</v>
      </c>
      <c r="C51" s="32">
        <v>1410.0</v>
      </c>
      <c r="D51" s="33" t="s">
        <v>123</v>
      </c>
      <c r="E51" s="33" t="s">
        <v>132</v>
      </c>
      <c r="F51" s="34" t="s">
        <v>133</v>
      </c>
      <c r="G51" s="32" t="s">
        <v>48</v>
      </c>
      <c r="H51" s="32" t="s">
        <v>94</v>
      </c>
      <c r="I51" s="64"/>
      <c r="J51" s="46"/>
      <c r="K51" s="47"/>
      <c r="L51" s="48"/>
      <c r="M51" s="48"/>
      <c r="N51" s="55"/>
      <c r="O51" s="56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51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</row>
    <row r="52" ht="15.75" customHeight="1">
      <c r="A52" s="31" t="s">
        <v>22</v>
      </c>
      <c r="B52" s="32">
        <v>154.0</v>
      </c>
      <c r="C52" s="32">
        <v>1550.0</v>
      </c>
      <c r="D52" s="33" t="s">
        <v>134</v>
      </c>
      <c r="E52" s="33" t="s">
        <v>135</v>
      </c>
      <c r="F52" s="34" t="s">
        <v>136</v>
      </c>
      <c r="G52" s="32" t="s">
        <v>137</v>
      </c>
      <c r="H52" s="32" t="s">
        <v>94</v>
      </c>
      <c r="I52" s="64"/>
      <c r="J52" s="46"/>
      <c r="K52" s="47"/>
      <c r="L52" s="48"/>
      <c r="M52" s="48"/>
      <c r="N52" s="55"/>
      <c r="O52" s="56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51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</row>
    <row r="53" ht="15.75" customHeight="1">
      <c r="A53" s="31" t="s">
        <v>22</v>
      </c>
      <c r="B53" s="32">
        <v>155.0</v>
      </c>
      <c r="C53" s="32">
        <v>1560.0</v>
      </c>
      <c r="D53" s="33" t="s">
        <v>130</v>
      </c>
      <c r="E53" s="33" t="s">
        <v>138</v>
      </c>
      <c r="F53" s="34" t="s">
        <v>139</v>
      </c>
      <c r="G53" s="32" t="s">
        <v>54</v>
      </c>
      <c r="H53" s="32" t="s">
        <v>94</v>
      </c>
      <c r="I53" s="64"/>
      <c r="J53" s="46"/>
      <c r="K53" s="47"/>
      <c r="L53" s="48"/>
      <c r="M53" s="48"/>
      <c r="N53" s="55"/>
      <c r="O53" s="56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51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</row>
    <row r="54" ht="15.75" customHeight="1">
      <c r="A54" s="31" t="s">
        <v>22</v>
      </c>
      <c r="B54" s="32">
        <v>169.0</v>
      </c>
      <c r="C54" s="32">
        <v>1700.0</v>
      </c>
      <c r="D54" s="33" t="s">
        <v>134</v>
      </c>
      <c r="E54" s="33" t="s">
        <v>135</v>
      </c>
      <c r="F54" s="34" t="s">
        <v>136</v>
      </c>
      <c r="G54" s="32" t="s">
        <v>137</v>
      </c>
      <c r="H54" s="32" t="s">
        <v>94</v>
      </c>
      <c r="I54" s="64"/>
      <c r="J54" s="46"/>
      <c r="K54" s="47"/>
      <c r="L54" s="48"/>
      <c r="M54" s="48"/>
      <c r="N54" s="55"/>
      <c r="O54" s="56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51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</row>
    <row r="55" ht="15.75" customHeight="1">
      <c r="A55" s="31" t="s">
        <v>22</v>
      </c>
      <c r="B55" s="32">
        <v>170.0</v>
      </c>
      <c r="C55" s="32">
        <v>1710.0</v>
      </c>
      <c r="D55" s="33" t="s">
        <v>130</v>
      </c>
      <c r="E55" s="33" t="s">
        <v>138</v>
      </c>
      <c r="F55" s="34" t="s">
        <v>140</v>
      </c>
      <c r="G55" s="32" t="s">
        <v>54</v>
      </c>
      <c r="H55" s="32" t="s">
        <v>94</v>
      </c>
      <c r="I55" s="64"/>
      <c r="J55" s="46"/>
      <c r="K55" s="47"/>
      <c r="L55" s="48"/>
      <c r="M55" s="48"/>
      <c r="N55" s="55"/>
      <c r="O55" s="56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51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</row>
    <row r="56" ht="15.75" customHeight="1">
      <c r="A56" s="31" t="s">
        <v>22</v>
      </c>
      <c r="B56" s="32">
        <v>184.0</v>
      </c>
      <c r="C56" s="32">
        <v>1850.0</v>
      </c>
      <c r="D56" s="33" t="s">
        <v>134</v>
      </c>
      <c r="E56" s="33" t="s">
        <v>135</v>
      </c>
      <c r="F56" s="34" t="s">
        <v>136</v>
      </c>
      <c r="G56" s="32" t="s">
        <v>137</v>
      </c>
      <c r="H56" s="32" t="s">
        <v>94</v>
      </c>
      <c r="I56" s="64"/>
      <c r="J56" s="46"/>
      <c r="K56" s="47"/>
      <c r="L56" s="48"/>
      <c r="M56" s="48"/>
      <c r="N56" s="55"/>
      <c r="O56" s="56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51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</row>
    <row r="57" ht="15.75" customHeight="1">
      <c r="A57" s="65" t="s">
        <v>22</v>
      </c>
      <c r="B57" s="32">
        <v>185.0</v>
      </c>
      <c r="C57" s="32">
        <v>1860.0</v>
      </c>
      <c r="D57" s="33" t="s">
        <v>130</v>
      </c>
      <c r="E57" s="33" t="s">
        <v>138</v>
      </c>
      <c r="F57" s="34" t="s">
        <v>140</v>
      </c>
      <c r="G57" s="32" t="s">
        <v>54</v>
      </c>
      <c r="H57" s="62" t="s">
        <v>94</v>
      </c>
      <c r="I57" s="66"/>
      <c r="J57" s="67"/>
      <c r="K57" s="68"/>
      <c r="L57" s="69"/>
      <c r="M57" s="69"/>
      <c r="N57" s="70"/>
      <c r="O57" s="56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51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</row>
    <row r="58" ht="15.75" customHeight="1">
      <c r="A58" s="71" t="s">
        <v>141</v>
      </c>
      <c r="B58" s="72">
        <v>133.0</v>
      </c>
      <c r="C58" s="72">
        <v>1330.0</v>
      </c>
      <c r="D58" s="73" t="s">
        <v>134</v>
      </c>
      <c r="E58" s="73" t="s">
        <v>135</v>
      </c>
      <c r="F58" s="74" t="s">
        <v>142</v>
      </c>
      <c r="G58" s="74" t="s">
        <v>137</v>
      </c>
      <c r="H58" s="75" t="s">
        <v>94</v>
      </c>
      <c r="I58" s="76"/>
      <c r="J58" s="77">
        <f>21+40+3</f>
        <v>64</v>
      </c>
      <c r="K58" s="78" t="s">
        <v>137</v>
      </c>
      <c r="L58" s="77" t="s">
        <v>28</v>
      </c>
      <c r="M58" s="77">
        <f>J58*'Reference Values'!$C$2</f>
        <v>4.52389E+18</v>
      </c>
      <c r="N58" s="79">
        <f>M58*'Reference Values'!$C$26</f>
        <v>0.02356948472</v>
      </c>
      <c r="O58" s="80">
        <f>N58*'Reference Values'!$D$26</f>
        <v>1.03653484</v>
      </c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30"/>
    </row>
    <row r="59" ht="15.75" customHeight="1">
      <c r="A59" s="71" t="s">
        <v>141</v>
      </c>
      <c r="B59" s="72">
        <v>134.0</v>
      </c>
      <c r="C59" s="72">
        <v>1340.0</v>
      </c>
      <c r="D59" s="73" t="s">
        <v>130</v>
      </c>
      <c r="E59" s="73" t="s">
        <v>138</v>
      </c>
      <c r="F59" s="74" t="s">
        <v>143</v>
      </c>
      <c r="G59" s="74" t="s">
        <v>54</v>
      </c>
      <c r="H59" s="75" t="s">
        <v>94</v>
      </c>
      <c r="I59" s="81"/>
      <c r="J59" s="82">
        <f>100+300+400</f>
        <v>800</v>
      </c>
      <c r="K59" s="83" t="s">
        <v>54</v>
      </c>
      <c r="L59" s="82" t="s">
        <v>28</v>
      </c>
      <c r="M59" s="82">
        <f>J59*'Reference Values'!$C$2</f>
        <v>5.65487E+19</v>
      </c>
      <c r="N59" s="84">
        <f>M59*'Reference Values'!$C$27</f>
        <v>1.091389288</v>
      </c>
      <c r="O59" s="85">
        <f>N59*'Reference Values'!$D$27</f>
        <v>82.74360371</v>
      </c>
      <c r="AE59" s="86"/>
    </row>
    <row r="60" ht="15.75" customHeight="1">
      <c r="A60" s="71" t="s">
        <v>141</v>
      </c>
      <c r="B60" s="72">
        <v>142.0</v>
      </c>
      <c r="C60" s="72">
        <v>1420.0</v>
      </c>
      <c r="D60" s="73" t="s">
        <v>134</v>
      </c>
      <c r="E60" s="73" t="s">
        <v>135</v>
      </c>
      <c r="F60" s="74" t="s">
        <v>69</v>
      </c>
      <c r="G60" s="74" t="s">
        <v>137</v>
      </c>
      <c r="H60" s="75" t="s">
        <v>94</v>
      </c>
      <c r="I60" s="81"/>
      <c r="J60" s="82"/>
      <c r="K60" s="83" t="s">
        <v>144</v>
      </c>
      <c r="L60" s="82" t="s">
        <v>28</v>
      </c>
      <c r="M60" s="82">
        <f>J60*'Reference Values'!$C$2</f>
        <v>0</v>
      </c>
      <c r="N60" s="87"/>
      <c r="O60" s="88"/>
      <c r="AE60" s="86"/>
    </row>
    <row r="61" ht="15.75" customHeight="1">
      <c r="A61" s="71" t="s">
        <v>141</v>
      </c>
      <c r="B61" s="72">
        <v>143.0</v>
      </c>
      <c r="C61" s="72">
        <v>1430.0</v>
      </c>
      <c r="D61" s="73" t="s">
        <v>130</v>
      </c>
      <c r="E61" s="73" t="s">
        <v>138</v>
      </c>
      <c r="F61" s="74" t="s">
        <v>139</v>
      </c>
      <c r="G61" s="74" t="s">
        <v>54</v>
      </c>
      <c r="H61" s="75" t="s">
        <v>94</v>
      </c>
      <c r="I61" s="81"/>
      <c r="J61" s="82">
        <f>15*3+10</f>
        <v>55</v>
      </c>
      <c r="K61" s="83" t="s">
        <v>145</v>
      </c>
      <c r="L61" s="82" t="s">
        <v>28</v>
      </c>
      <c r="M61" s="82">
        <f>J61*'Reference Values'!$C$2</f>
        <v>3.88772E+18</v>
      </c>
      <c r="N61" s="89">
        <f>M61*'Reference Values'!$C$22</f>
        <v>0.05326177645</v>
      </c>
      <c r="O61" s="85">
        <f>N61*'Reference Values'!$D$22</f>
        <v>1.375</v>
      </c>
      <c r="AE61" s="86"/>
    </row>
    <row r="62" ht="15.75" customHeight="1">
      <c r="A62" s="71" t="s">
        <v>141</v>
      </c>
      <c r="B62" s="72">
        <v>155.0</v>
      </c>
      <c r="C62" s="72">
        <v>1550.0</v>
      </c>
      <c r="D62" s="73" t="s">
        <v>134</v>
      </c>
      <c r="E62" s="73" t="s">
        <v>135</v>
      </c>
      <c r="F62" s="74" t="s">
        <v>142</v>
      </c>
      <c r="G62" s="74" t="s">
        <v>137</v>
      </c>
      <c r="H62" s="75" t="s">
        <v>94</v>
      </c>
      <c r="I62" s="81"/>
      <c r="J62" s="82">
        <f>500+900+500+150</f>
        <v>2050</v>
      </c>
      <c r="K62" s="83" t="s">
        <v>146</v>
      </c>
      <c r="L62" s="82" t="s">
        <v>28</v>
      </c>
      <c r="M62" s="82">
        <f>J62*'Reference Values'!$C$2</f>
        <v>1.44906E+20</v>
      </c>
      <c r="N62" s="89">
        <f>M62*'Reference Values'!$C$13</f>
        <v>1.298357412</v>
      </c>
      <c r="O62" s="85">
        <f>N62*'Reference Values'!$D$13</f>
        <v>7.907142857</v>
      </c>
      <c r="AE62" s="86"/>
    </row>
    <row r="63" ht="15.75" customHeight="1">
      <c r="A63" s="71" t="s">
        <v>141</v>
      </c>
      <c r="B63" s="72">
        <v>156.0</v>
      </c>
      <c r="C63" s="72">
        <v>1560.0</v>
      </c>
      <c r="D63" s="73" t="s">
        <v>130</v>
      </c>
      <c r="E63" s="73" t="s">
        <v>138</v>
      </c>
      <c r="F63" s="74" t="s">
        <v>139</v>
      </c>
      <c r="G63" s="74" t="s">
        <v>54</v>
      </c>
      <c r="H63" s="75" t="s">
        <v>94</v>
      </c>
      <c r="I63" s="81"/>
      <c r="J63" s="82">
        <v>1444.0</v>
      </c>
      <c r="K63" s="83" t="s">
        <v>26</v>
      </c>
      <c r="L63" s="82" t="s">
        <v>28</v>
      </c>
      <c r="M63" s="82">
        <f>J63*'Reference Values'!$C$2</f>
        <v>1.0207E+20</v>
      </c>
      <c r="N63" s="89">
        <f>M63*'Reference Values'!$C$19</f>
        <v>0.3235629946</v>
      </c>
      <c r="O63" s="85">
        <f>N63*'Reference Values'!$D$19</f>
        <v>20.89312726</v>
      </c>
      <c r="AE63" s="86"/>
    </row>
    <row r="64" ht="15.75" customHeight="1">
      <c r="A64" s="71" t="s">
        <v>141</v>
      </c>
      <c r="B64" s="72">
        <v>164.0</v>
      </c>
      <c r="C64" s="72">
        <v>1640.0</v>
      </c>
      <c r="D64" s="73" t="s">
        <v>134</v>
      </c>
      <c r="E64" s="73" t="s">
        <v>135</v>
      </c>
      <c r="F64" s="74" t="s">
        <v>142</v>
      </c>
      <c r="G64" s="74" t="s">
        <v>137</v>
      </c>
      <c r="H64" s="75" t="s">
        <v>94</v>
      </c>
      <c r="I64" s="81"/>
      <c r="J64" s="82">
        <v>21500.0</v>
      </c>
      <c r="K64" s="83" t="s">
        <v>32</v>
      </c>
      <c r="L64" s="82" t="s">
        <v>28</v>
      </c>
      <c r="M64" s="82">
        <f>J64*'Reference Values'!$C$2</f>
        <v>1.51975E+21</v>
      </c>
      <c r="N64" s="89">
        <f>M64*'Reference Values'!$C$17</f>
        <v>1.468074101</v>
      </c>
      <c r="O64" s="85">
        <f>N64*'Reference Values'!$D$17</f>
        <v>6.165911224</v>
      </c>
      <c r="AE64" s="86"/>
    </row>
    <row r="65" ht="15.75" customHeight="1">
      <c r="A65" s="71" t="s">
        <v>141</v>
      </c>
      <c r="B65" s="72">
        <v>165.0</v>
      </c>
      <c r="C65" s="72">
        <v>1650.0</v>
      </c>
      <c r="D65" s="73" t="s">
        <v>130</v>
      </c>
      <c r="E65" s="73" t="s">
        <v>138</v>
      </c>
      <c r="F65" s="74" t="s">
        <v>143</v>
      </c>
      <c r="G65" s="74" t="s">
        <v>54</v>
      </c>
      <c r="H65" s="75" t="s">
        <v>94</v>
      </c>
      <c r="I65" s="81"/>
      <c r="J65" s="82">
        <v>3809.0</v>
      </c>
      <c r="K65" s="83" t="s">
        <v>40</v>
      </c>
      <c r="L65" s="82" t="s">
        <v>28</v>
      </c>
      <c r="M65" s="82">
        <f>J65*'Reference Values'!$C$2</f>
        <v>2.69242E+20</v>
      </c>
      <c r="N65" s="84">
        <f>M65*'Reference Values'!$C$20</f>
        <v>0.5734861936</v>
      </c>
      <c r="O65" s="85">
        <f>N65*'Reference Values'!$D$20</f>
        <v>1.173618785</v>
      </c>
      <c r="AE65" s="86"/>
    </row>
    <row r="66" ht="15.75" customHeight="1">
      <c r="A66" s="71" t="s">
        <v>141</v>
      </c>
      <c r="B66" s="72">
        <v>173.0</v>
      </c>
      <c r="C66" s="72">
        <v>1730.0</v>
      </c>
      <c r="D66" s="73" t="s">
        <v>147</v>
      </c>
      <c r="E66" s="73" t="s">
        <v>148</v>
      </c>
      <c r="F66" s="74" t="s">
        <v>149</v>
      </c>
      <c r="G66" s="74" t="s">
        <v>150</v>
      </c>
      <c r="H66" s="75" t="s">
        <v>151</v>
      </c>
      <c r="I66" s="81"/>
      <c r="J66" s="82">
        <f>15+15+15+10</f>
        <v>55</v>
      </c>
      <c r="K66" s="83" t="s">
        <v>34</v>
      </c>
      <c r="L66" s="82" t="s">
        <v>28</v>
      </c>
      <c r="M66" s="82">
        <f>J66*'Reference Values'!$C$2</f>
        <v>3.88772E+18</v>
      </c>
      <c r="N66" s="89">
        <f>M66*'Reference Values'!$C$21</f>
        <v>0.01092449575</v>
      </c>
      <c r="O66" s="85">
        <f>N66*'Reference Values'!$D$21</f>
        <v>0.4137168142</v>
      </c>
      <c r="AE66" s="86"/>
    </row>
    <row r="67" ht="15.75" customHeight="1">
      <c r="A67" s="71" t="s">
        <v>141</v>
      </c>
      <c r="B67" s="72">
        <v>174.0</v>
      </c>
      <c r="C67" s="72">
        <v>1740.0</v>
      </c>
      <c r="D67" s="73" t="s">
        <v>152</v>
      </c>
      <c r="E67" s="73" t="s">
        <v>153</v>
      </c>
      <c r="F67" s="74" t="s">
        <v>139</v>
      </c>
      <c r="G67" s="74" t="s">
        <v>146</v>
      </c>
      <c r="H67" s="75" t="s">
        <v>154</v>
      </c>
      <c r="I67" s="81"/>
      <c r="J67" s="82">
        <v>130.0</v>
      </c>
      <c r="K67" s="83" t="s">
        <v>155</v>
      </c>
      <c r="L67" s="82" t="s">
        <v>28</v>
      </c>
      <c r="M67" s="82">
        <f>J67*'Reference Values'!$C$2</f>
        <v>9.18916E+18</v>
      </c>
      <c r="N67" s="89">
        <f>M67*'Reference Values'!$C$16</f>
        <v>0.02141073933</v>
      </c>
      <c r="O67" s="85">
        <f>N67*'Reference Values'!$D$16</f>
        <v>0.08844672657</v>
      </c>
      <c r="AE67" s="86"/>
    </row>
    <row r="68" ht="15.75" customHeight="1">
      <c r="A68" s="71" t="s">
        <v>141</v>
      </c>
      <c r="B68" s="72">
        <v>190.0</v>
      </c>
      <c r="C68" s="72">
        <v>1900.0</v>
      </c>
      <c r="D68" s="73" t="s">
        <v>147</v>
      </c>
      <c r="E68" s="73" t="s">
        <v>148</v>
      </c>
      <c r="F68" s="74" t="s">
        <v>149</v>
      </c>
      <c r="G68" s="74" t="s">
        <v>150</v>
      </c>
      <c r="H68" s="75" t="s">
        <v>151</v>
      </c>
      <c r="I68" s="81"/>
      <c r="J68" s="82">
        <v>123.0</v>
      </c>
      <c r="K68" s="83" t="s">
        <v>156</v>
      </c>
      <c r="L68" s="82" t="s">
        <v>28</v>
      </c>
      <c r="M68" s="82">
        <f>J68*'Reference Values'!$C$2</f>
        <v>8.69436E+18</v>
      </c>
      <c r="N68" s="89">
        <f>M68*'Reference Values'!$C$18</f>
        <v>0.02895221104</v>
      </c>
      <c r="O68" s="85">
        <f>N68*'Reference Values'!$D$18</f>
        <v>1.968</v>
      </c>
      <c r="AE68" s="86"/>
    </row>
    <row r="69" ht="15.75" customHeight="1">
      <c r="A69" s="71" t="s">
        <v>141</v>
      </c>
      <c r="B69" s="72">
        <v>191.0</v>
      </c>
      <c r="C69" s="72">
        <v>1910.0</v>
      </c>
      <c r="D69" s="73" t="s">
        <v>152</v>
      </c>
      <c r="E69" s="73" t="s">
        <v>153</v>
      </c>
      <c r="F69" s="74" t="s">
        <v>93</v>
      </c>
      <c r="G69" s="74" t="s">
        <v>146</v>
      </c>
      <c r="H69" s="75" t="s">
        <v>154</v>
      </c>
      <c r="I69" s="81"/>
      <c r="J69" s="82">
        <f>26</f>
        <v>26</v>
      </c>
      <c r="K69" s="5" t="s">
        <v>157</v>
      </c>
      <c r="L69" s="27" t="s">
        <v>28</v>
      </c>
      <c r="M69" s="82">
        <f>J69*'Reference Values'!$C$2</f>
        <v>1.83783E+18</v>
      </c>
      <c r="N69" s="90">
        <f>M69*'Reference Values'!$C$15</f>
        <v>0.03418366966</v>
      </c>
      <c r="O69" s="91">
        <f>N69*'Reference Values'!$D$15</f>
        <v>651.3131313</v>
      </c>
      <c r="AE69" s="86"/>
    </row>
    <row r="70" ht="15.75" customHeight="1">
      <c r="A70" s="71" t="s">
        <v>141</v>
      </c>
      <c r="B70" s="72">
        <v>207.0</v>
      </c>
      <c r="C70" s="72">
        <v>2070.0</v>
      </c>
      <c r="D70" s="73" t="s">
        <v>147</v>
      </c>
      <c r="E70" s="73" t="s">
        <v>148</v>
      </c>
      <c r="F70" s="74" t="s">
        <v>149</v>
      </c>
      <c r="G70" s="74" t="s">
        <v>150</v>
      </c>
      <c r="H70" s="75" t="s">
        <v>151</v>
      </c>
      <c r="I70" s="81"/>
      <c r="J70" s="82"/>
      <c r="K70" s="5"/>
      <c r="N70" s="87"/>
      <c r="O70" s="88"/>
      <c r="AE70" s="86"/>
    </row>
    <row r="71" ht="15.75" customHeight="1">
      <c r="A71" s="71" t="s">
        <v>141</v>
      </c>
      <c r="B71" s="72">
        <v>208.0</v>
      </c>
      <c r="C71" s="72">
        <v>2080.0</v>
      </c>
      <c r="D71" s="73" t="s">
        <v>152</v>
      </c>
      <c r="E71" s="73" t="s">
        <v>153</v>
      </c>
      <c r="F71" s="74" t="s">
        <v>66</v>
      </c>
      <c r="G71" s="74" t="s">
        <v>146</v>
      </c>
      <c r="H71" s="75" t="s">
        <v>154</v>
      </c>
      <c r="I71" s="81"/>
      <c r="J71" s="82"/>
      <c r="K71" s="5"/>
      <c r="N71" s="87"/>
      <c r="O71" s="88"/>
      <c r="AE71" s="86"/>
    </row>
    <row r="72" ht="15.75" customHeight="1">
      <c r="A72" s="71" t="s">
        <v>141</v>
      </c>
      <c r="B72" s="72">
        <v>231.0</v>
      </c>
      <c r="C72" s="72">
        <v>2310.0</v>
      </c>
      <c r="D72" s="73" t="s">
        <v>147</v>
      </c>
      <c r="E72" s="73" t="s">
        <v>148</v>
      </c>
      <c r="F72" s="74" t="s">
        <v>158</v>
      </c>
      <c r="G72" s="74" t="s">
        <v>150</v>
      </c>
      <c r="H72" s="75" t="s">
        <v>151</v>
      </c>
      <c r="I72" s="81"/>
      <c r="J72" s="82"/>
      <c r="K72" s="5"/>
      <c r="N72" s="87"/>
      <c r="O72" s="88"/>
      <c r="AE72" s="86"/>
    </row>
    <row r="73" ht="15.75" customHeight="1">
      <c r="A73" s="71" t="s">
        <v>141</v>
      </c>
      <c r="B73" s="72">
        <v>232.0</v>
      </c>
      <c r="C73" s="72">
        <v>2320.0</v>
      </c>
      <c r="D73" s="73" t="s">
        <v>152</v>
      </c>
      <c r="E73" s="73" t="s">
        <v>153</v>
      </c>
      <c r="F73" s="74" t="s">
        <v>93</v>
      </c>
      <c r="G73" s="74" t="s">
        <v>146</v>
      </c>
      <c r="H73" s="75" t="s">
        <v>154</v>
      </c>
      <c r="I73" s="81"/>
      <c r="J73" s="82"/>
      <c r="K73" s="5"/>
      <c r="N73" s="87"/>
      <c r="O73" s="88"/>
      <c r="AE73" s="86"/>
    </row>
    <row r="74" ht="15.75" customHeight="1">
      <c r="A74" s="92" t="s">
        <v>141</v>
      </c>
      <c r="B74" s="93">
        <v>6.0</v>
      </c>
      <c r="C74" s="93">
        <v>60.0</v>
      </c>
      <c r="D74" s="94" t="s">
        <v>23</v>
      </c>
      <c r="E74" s="94" t="s">
        <v>24</v>
      </c>
      <c r="F74" s="95" t="s">
        <v>25</v>
      </c>
      <c r="G74" s="95" t="s">
        <v>26</v>
      </c>
      <c r="H74" s="96" t="s">
        <v>27</v>
      </c>
      <c r="I74" s="97"/>
      <c r="J74" s="82"/>
      <c r="K74" s="83"/>
      <c r="N74" s="87"/>
      <c r="O74" s="88"/>
      <c r="AE74" s="86"/>
    </row>
    <row r="75" ht="15.75" customHeight="1">
      <c r="A75" s="71" t="s">
        <v>141</v>
      </c>
      <c r="B75" s="72">
        <v>7.0</v>
      </c>
      <c r="C75" s="72">
        <v>70.0</v>
      </c>
      <c r="D75" s="98" t="s">
        <v>59</v>
      </c>
      <c r="E75" s="73" t="s">
        <v>30</v>
      </c>
      <c r="F75" s="74" t="s">
        <v>159</v>
      </c>
      <c r="G75" s="74" t="s">
        <v>32</v>
      </c>
      <c r="H75" s="75" t="s">
        <v>33</v>
      </c>
      <c r="I75" s="99"/>
      <c r="J75" s="26"/>
      <c r="K75" s="5"/>
      <c r="N75" s="87"/>
      <c r="O75" s="88"/>
      <c r="AE75" s="86"/>
    </row>
    <row r="76" ht="15.75" customHeight="1">
      <c r="A76" s="71" t="s">
        <v>141</v>
      </c>
      <c r="B76" s="72">
        <v>14.0</v>
      </c>
      <c r="C76" s="72">
        <v>140.0</v>
      </c>
      <c r="D76" s="98" t="s">
        <v>63</v>
      </c>
      <c r="E76" s="73" t="s">
        <v>30</v>
      </c>
      <c r="F76" s="74" t="s">
        <v>159</v>
      </c>
      <c r="G76" s="74" t="s">
        <v>32</v>
      </c>
      <c r="H76" s="75" t="s">
        <v>33</v>
      </c>
      <c r="I76" s="99"/>
      <c r="J76" s="26"/>
      <c r="K76" s="5"/>
      <c r="N76" s="87"/>
      <c r="O76" s="88"/>
      <c r="AE76" s="86"/>
    </row>
    <row r="77" ht="15.75" customHeight="1">
      <c r="A77" s="71" t="s">
        <v>141</v>
      </c>
      <c r="B77" s="72">
        <v>19.0</v>
      </c>
      <c r="C77" s="72">
        <v>190.0</v>
      </c>
      <c r="D77" s="73" t="s">
        <v>160</v>
      </c>
      <c r="E77" s="73" t="s">
        <v>71</v>
      </c>
      <c r="F77" s="74" t="s">
        <v>161</v>
      </c>
      <c r="G77" s="74" t="s">
        <v>40</v>
      </c>
      <c r="H77" s="75" t="s">
        <v>73</v>
      </c>
      <c r="I77" s="99"/>
      <c r="J77" s="26"/>
      <c r="K77" s="5"/>
      <c r="N77" s="87"/>
      <c r="O77" s="88"/>
      <c r="AE77" s="86"/>
    </row>
    <row r="78" ht="15.75" customHeight="1">
      <c r="A78" s="71" t="s">
        <v>141</v>
      </c>
      <c r="B78" s="72">
        <v>20.0</v>
      </c>
      <c r="C78" s="72">
        <v>200.0</v>
      </c>
      <c r="D78" s="73" t="s">
        <v>162</v>
      </c>
      <c r="E78" s="73" t="s">
        <v>71</v>
      </c>
      <c r="F78" s="74" t="s">
        <v>163</v>
      </c>
      <c r="G78" s="74" t="s">
        <v>40</v>
      </c>
      <c r="H78" s="75" t="s">
        <v>73</v>
      </c>
      <c r="I78" s="99"/>
      <c r="J78" s="26"/>
      <c r="K78" s="5"/>
      <c r="N78" s="87"/>
      <c r="O78" s="88"/>
      <c r="AE78" s="86"/>
    </row>
    <row r="79" ht="15.75" customHeight="1">
      <c r="A79" s="71" t="s">
        <v>141</v>
      </c>
      <c r="B79" s="72">
        <v>24.0</v>
      </c>
      <c r="C79" s="72">
        <v>240.0</v>
      </c>
      <c r="D79" s="98" t="s">
        <v>41</v>
      </c>
      <c r="E79" s="73" t="s">
        <v>42</v>
      </c>
      <c r="F79" s="74" t="s">
        <v>164</v>
      </c>
      <c r="G79" s="74" t="s">
        <v>32</v>
      </c>
      <c r="H79" s="75" t="s">
        <v>44</v>
      </c>
      <c r="I79" s="99"/>
      <c r="J79" s="26"/>
      <c r="K79" s="5"/>
      <c r="N79" s="87"/>
      <c r="O79" s="88"/>
      <c r="AE79" s="86"/>
    </row>
    <row r="80" ht="15.75" customHeight="1">
      <c r="A80" s="71" t="s">
        <v>141</v>
      </c>
      <c r="B80" s="72">
        <v>29.0</v>
      </c>
      <c r="C80" s="72">
        <v>290.0</v>
      </c>
      <c r="D80" s="98" t="s">
        <v>46</v>
      </c>
      <c r="E80" s="73" t="s">
        <v>42</v>
      </c>
      <c r="F80" s="74" t="s">
        <v>159</v>
      </c>
      <c r="G80" s="74" t="s">
        <v>32</v>
      </c>
      <c r="H80" s="75" t="s">
        <v>44</v>
      </c>
      <c r="I80" s="99"/>
      <c r="J80" s="26"/>
      <c r="K80" s="5"/>
      <c r="N80" s="87"/>
      <c r="O80" s="88"/>
      <c r="AE80" s="86"/>
    </row>
    <row r="81" ht="15.75" customHeight="1">
      <c r="A81" s="71" t="s">
        <v>141</v>
      </c>
      <c r="B81" s="72">
        <v>35.0</v>
      </c>
      <c r="C81" s="72">
        <v>350.0</v>
      </c>
      <c r="D81" s="98" t="s">
        <v>49</v>
      </c>
      <c r="E81" s="73" t="s">
        <v>42</v>
      </c>
      <c r="F81" s="74" t="s">
        <v>159</v>
      </c>
      <c r="G81" s="74" t="s">
        <v>32</v>
      </c>
      <c r="H81" s="75" t="s">
        <v>44</v>
      </c>
      <c r="I81" s="99"/>
      <c r="J81" s="26"/>
      <c r="K81" s="5"/>
      <c r="N81" s="87"/>
      <c r="O81" s="88"/>
      <c r="AE81" s="86"/>
    </row>
    <row r="82" ht="15.75" customHeight="1">
      <c r="A82" s="71" t="s">
        <v>141</v>
      </c>
      <c r="B82" s="72">
        <v>41.0</v>
      </c>
      <c r="C82" s="72">
        <v>410.0</v>
      </c>
      <c r="D82" s="98" t="s">
        <v>51</v>
      </c>
      <c r="E82" s="73" t="s">
        <v>30</v>
      </c>
      <c r="F82" s="74" t="s">
        <v>159</v>
      </c>
      <c r="G82" s="74" t="s">
        <v>32</v>
      </c>
      <c r="H82" s="75" t="s">
        <v>33</v>
      </c>
      <c r="I82" s="99"/>
      <c r="J82" s="26"/>
      <c r="K82" s="5"/>
      <c r="N82" s="87"/>
      <c r="O82" s="88"/>
      <c r="AE82" s="86"/>
    </row>
    <row r="83" ht="15.75" customHeight="1">
      <c r="A83" s="71" t="s">
        <v>141</v>
      </c>
      <c r="B83" s="72">
        <v>45.0</v>
      </c>
      <c r="C83" s="72">
        <v>450.0</v>
      </c>
      <c r="D83" s="98" t="s">
        <v>53</v>
      </c>
      <c r="E83" s="73" t="s">
        <v>42</v>
      </c>
      <c r="F83" s="74" t="s">
        <v>159</v>
      </c>
      <c r="G83" s="74" t="s">
        <v>32</v>
      </c>
      <c r="H83" s="75" t="s">
        <v>44</v>
      </c>
      <c r="I83" s="99"/>
      <c r="J83" s="26"/>
      <c r="K83" s="5"/>
      <c r="N83" s="87"/>
      <c r="O83" s="88"/>
      <c r="AE83" s="86"/>
    </row>
    <row r="84" ht="15.75" customHeight="1">
      <c r="A84" s="71" t="s">
        <v>141</v>
      </c>
      <c r="B84" s="72">
        <v>51.0</v>
      </c>
      <c r="C84" s="72">
        <v>510.0</v>
      </c>
      <c r="D84" s="98" t="s">
        <v>55</v>
      </c>
      <c r="E84" s="73" t="s">
        <v>42</v>
      </c>
      <c r="F84" s="74" t="s">
        <v>159</v>
      </c>
      <c r="G84" s="74" t="s">
        <v>32</v>
      </c>
      <c r="H84" s="75" t="s">
        <v>44</v>
      </c>
      <c r="I84" s="99"/>
      <c r="J84" s="26"/>
      <c r="K84" s="5"/>
      <c r="N84" s="87"/>
      <c r="O84" s="88"/>
      <c r="AE84" s="86"/>
    </row>
    <row r="85" ht="15.75" customHeight="1">
      <c r="A85" s="71" t="s">
        <v>141</v>
      </c>
      <c r="B85" s="72">
        <v>57.0</v>
      </c>
      <c r="C85" s="72">
        <v>570.0</v>
      </c>
      <c r="D85" s="98" t="s">
        <v>57</v>
      </c>
      <c r="E85" s="73" t="s">
        <v>30</v>
      </c>
      <c r="F85" s="74" t="s">
        <v>165</v>
      </c>
      <c r="G85" s="74" t="s">
        <v>32</v>
      </c>
      <c r="H85" s="75" t="s">
        <v>33</v>
      </c>
      <c r="I85" s="99"/>
      <c r="J85" s="26"/>
      <c r="K85" s="5"/>
      <c r="N85" s="87"/>
      <c r="O85" s="88"/>
      <c r="AE85" s="86"/>
    </row>
    <row r="86" ht="15.75" customHeight="1">
      <c r="A86" s="71" t="s">
        <v>141</v>
      </c>
      <c r="B86" s="72">
        <v>61.0</v>
      </c>
      <c r="C86" s="72">
        <v>610.0</v>
      </c>
      <c r="D86" s="98" t="s">
        <v>58</v>
      </c>
      <c r="E86" s="73" t="s">
        <v>30</v>
      </c>
      <c r="F86" s="74" t="s">
        <v>165</v>
      </c>
      <c r="G86" s="74" t="s">
        <v>32</v>
      </c>
      <c r="H86" s="75" t="s">
        <v>33</v>
      </c>
      <c r="I86" s="99"/>
      <c r="J86" s="26"/>
      <c r="K86" s="5"/>
      <c r="N86" s="87"/>
      <c r="O86" s="88"/>
      <c r="AE86" s="86"/>
    </row>
    <row r="87" ht="15.75" customHeight="1">
      <c r="A87" s="71" t="s">
        <v>141</v>
      </c>
      <c r="B87" s="72">
        <v>69.0</v>
      </c>
      <c r="C87" s="72">
        <v>690.0</v>
      </c>
      <c r="D87" s="98" t="s">
        <v>166</v>
      </c>
      <c r="E87" s="73" t="s">
        <v>30</v>
      </c>
      <c r="F87" s="74" t="s">
        <v>165</v>
      </c>
      <c r="G87" s="74" t="s">
        <v>32</v>
      </c>
      <c r="H87" s="75" t="s">
        <v>33</v>
      </c>
      <c r="I87" s="99"/>
      <c r="J87" s="26"/>
      <c r="K87" s="5"/>
      <c r="N87" s="87"/>
      <c r="O87" s="88"/>
      <c r="AE87" s="86"/>
    </row>
    <row r="88" ht="15.75" customHeight="1">
      <c r="A88" s="71" t="s">
        <v>141</v>
      </c>
      <c r="B88" s="72">
        <v>75.0</v>
      </c>
      <c r="C88" s="72">
        <v>750.0</v>
      </c>
      <c r="D88" s="73" t="s">
        <v>35</v>
      </c>
      <c r="E88" s="73" t="s">
        <v>36</v>
      </c>
      <c r="F88" s="74" t="s">
        <v>167</v>
      </c>
      <c r="G88" s="74" t="s">
        <v>34</v>
      </c>
      <c r="H88" s="75" t="s">
        <v>38</v>
      </c>
      <c r="I88" s="99"/>
      <c r="J88" s="26"/>
      <c r="K88" s="5"/>
      <c r="N88" s="87"/>
      <c r="O88" s="88"/>
      <c r="AE88" s="86"/>
    </row>
    <row r="89" ht="15.75" customHeight="1">
      <c r="A89" s="71" t="s">
        <v>141</v>
      </c>
      <c r="B89" s="72">
        <v>77.0</v>
      </c>
      <c r="C89" s="72">
        <v>770.0</v>
      </c>
      <c r="D89" s="73" t="s">
        <v>168</v>
      </c>
      <c r="E89" s="73" t="s">
        <v>169</v>
      </c>
      <c r="F89" s="74" t="s">
        <v>170</v>
      </c>
      <c r="G89" s="74" t="s">
        <v>155</v>
      </c>
      <c r="H89" s="75" t="s">
        <v>73</v>
      </c>
      <c r="I89" s="99"/>
      <c r="J89" s="26"/>
      <c r="K89" s="5"/>
      <c r="N89" s="87"/>
      <c r="O89" s="88"/>
      <c r="AE89" s="86"/>
    </row>
    <row r="90" ht="15.75" customHeight="1">
      <c r="A90" s="71" t="s">
        <v>141</v>
      </c>
      <c r="B90" s="72">
        <v>79.0</v>
      </c>
      <c r="C90" s="72">
        <v>790.0</v>
      </c>
      <c r="D90" s="98" t="s">
        <v>75</v>
      </c>
      <c r="E90" s="73" t="s">
        <v>60</v>
      </c>
      <c r="F90" s="74" t="s">
        <v>165</v>
      </c>
      <c r="G90" s="74" t="s">
        <v>32</v>
      </c>
      <c r="H90" s="75" t="s">
        <v>61</v>
      </c>
      <c r="I90" s="99"/>
      <c r="J90" s="26"/>
      <c r="K90" s="5"/>
      <c r="N90" s="87"/>
      <c r="O90" s="88"/>
      <c r="AE90" s="86"/>
    </row>
    <row r="91" ht="15.75" customHeight="1">
      <c r="A91" s="71" t="s">
        <v>141</v>
      </c>
      <c r="B91" s="72">
        <v>86.0</v>
      </c>
      <c r="C91" s="72">
        <v>860.0</v>
      </c>
      <c r="D91" s="98" t="s">
        <v>76</v>
      </c>
      <c r="E91" s="73" t="s">
        <v>30</v>
      </c>
      <c r="F91" s="74" t="s">
        <v>165</v>
      </c>
      <c r="G91" s="74" t="s">
        <v>32</v>
      </c>
      <c r="H91" s="75" t="s">
        <v>33</v>
      </c>
      <c r="I91" s="99"/>
      <c r="J91" s="26"/>
      <c r="K91" s="5"/>
      <c r="N91" s="87"/>
      <c r="O91" s="88"/>
      <c r="AE91" s="86"/>
    </row>
    <row r="92" ht="15.75" customHeight="1">
      <c r="A92" s="71" t="s">
        <v>141</v>
      </c>
      <c r="B92" s="72">
        <v>91.0</v>
      </c>
      <c r="C92" s="72">
        <v>910.0</v>
      </c>
      <c r="D92" s="98" t="s">
        <v>77</v>
      </c>
      <c r="E92" s="73" t="s">
        <v>30</v>
      </c>
      <c r="F92" s="74" t="s">
        <v>165</v>
      </c>
      <c r="G92" s="74" t="s">
        <v>32</v>
      </c>
      <c r="H92" s="75" t="s">
        <v>33</v>
      </c>
      <c r="I92" s="99"/>
      <c r="J92" s="26"/>
      <c r="K92" s="5"/>
      <c r="N92" s="87"/>
      <c r="O92" s="88"/>
      <c r="AE92" s="86"/>
    </row>
    <row r="93" ht="15.75" customHeight="1">
      <c r="A93" s="71" t="s">
        <v>141</v>
      </c>
      <c r="B93" s="72">
        <v>96.0</v>
      </c>
      <c r="C93" s="72">
        <v>960.0</v>
      </c>
      <c r="D93" s="73" t="s">
        <v>171</v>
      </c>
      <c r="E93" s="73" t="s">
        <v>79</v>
      </c>
      <c r="F93" s="74" t="s">
        <v>172</v>
      </c>
      <c r="G93" s="74" t="s">
        <v>26</v>
      </c>
      <c r="H93" s="75" t="s">
        <v>73</v>
      </c>
      <c r="I93" s="99"/>
      <c r="J93" s="26"/>
      <c r="K93" s="5"/>
      <c r="N93" s="87"/>
      <c r="O93" s="88"/>
      <c r="AE93" s="86"/>
    </row>
    <row r="94" ht="15.75" customHeight="1">
      <c r="A94" s="71" t="s">
        <v>141</v>
      </c>
      <c r="B94" s="72">
        <v>98.0</v>
      </c>
      <c r="C94" s="72">
        <v>980.0</v>
      </c>
      <c r="D94" s="73" t="s">
        <v>173</v>
      </c>
      <c r="E94" s="73" t="s">
        <v>71</v>
      </c>
      <c r="F94" s="74" t="s">
        <v>174</v>
      </c>
      <c r="G94" s="74" t="s">
        <v>40</v>
      </c>
      <c r="H94" s="75" t="s">
        <v>73</v>
      </c>
      <c r="I94" s="99"/>
      <c r="J94" s="26"/>
      <c r="K94" s="5"/>
      <c r="N94" s="87"/>
      <c r="O94" s="88"/>
      <c r="AE94" s="86"/>
    </row>
    <row r="95" ht="15.75" customHeight="1">
      <c r="A95" s="71" t="s">
        <v>141</v>
      </c>
      <c r="B95" s="72">
        <v>99.0</v>
      </c>
      <c r="C95" s="72">
        <v>990.0</v>
      </c>
      <c r="D95" s="73" t="s">
        <v>175</v>
      </c>
      <c r="E95" s="73" t="s">
        <v>79</v>
      </c>
      <c r="F95" s="74" t="s">
        <v>25</v>
      </c>
      <c r="G95" s="74" t="s">
        <v>26</v>
      </c>
      <c r="H95" s="75" t="s">
        <v>73</v>
      </c>
      <c r="I95" s="99"/>
      <c r="J95" s="26"/>
      <c r="K95" s="5"/>
      <c r="N95" s="87"/>
      <c r="O95" s="88"/>
      <c r="AE95" s="86"/>
    </row>
    <row r="96" ht="15.75" customHeight="1">
      <c r="A96" s="71" t="s">
        <v>141</v>
      </c>
      <c r="B96" s="72">
        <v>101.0</v>
      </c>
      <c r="C96" s="72">
        <v>1010.0</v>
      </c>
      <c r="D96" s="98" t="s">
        <v>176</v>
      </c>
      <c r="E96" s="73" t="s">
        <v>30</v>
      </c>
      <c r="F96" s="74" t="s">
        <v>165</v>
      </c>
      <c r="G96" s="74" t="s">
        <v>32</v>
      </c>
      <c r="H96" s="75" t="s">
        <v>33</v>
      </c>
      <c r="I96" s="99"/>
      <c r="J96" s="26"/>
      <c r="K96" s="5"/>
      <c r="N96" s="87"/>
      <c r="O96" s="88"/>
      <c r="AE96" s="86"/>
    </row>
    <row r="97" ht="15.75" customHeight="1">
      <c r="A97" s="71" t="s">
        <v>141</v>
      </c>
      <c r="B97" s="72">
        <v>106.0</v>
      </c>
      <c r="C97" s="72">
        <v>1060.0</v>
      </c>
      <c r="D97" s="98" t="s">
        <v>177</v>
      </c>
      <c r="E97" s="73" t="s">
        <v>30</v>
      </c>
      <c r="F97" s="74" t="s">
        <v>165</v>
      </c>
      <c r="G97" s="74" t="s">
        <v>32</v>
      </c>
      <c r="H97" s="75" t="s">
        <v>33</v>
      </c>
      <c r="I97" s="99"/>
      <c r="J97" s="26"/>
      <c r="K97" s="5"/>
      <c r="N97" s="87"/>
      <c r="O97" s="88"/>
      <c r="AE97" s="86"/>
    </row>
    <row r="98" ht="15.75" customHeight="1">
      <c r="A98" s="71" t="s">
        <v>141</v>
      </c>
      <c r="B98" s="72">
        <v>111.0</v>
      </c>
      <c r="C98" s="72">
        <v>1110.0</v>
      </c>
      <c r="D98" s="73" t="s">
        <v>178</v>
      </c>
      <c r="E98" s="73" t="s">
        <v>71</v>
      </c>
      <c r="F98" s="74" t="s">
        <v>136</v>
      </c>
      <c r="G98" s="74" t="s">
        <v>40</v>
      </c>
      <c r="H98" s="75" t="s">
        <v>73</v>
      </c>
      <c r="I98" s="99"/>
      <c r="J98" s="26"/>
      <c r="K98" s="5"/>
      <c r="N98" s="87"/>
      <c r="O98" s="88"/>
      <c r="AE98" s="86"/>
    </row>
    <row r="99" ht="15.75" customHeight="1">
      <c r="A99" s="71" t="s">
        <v>141</v>
      </c>
      <c r="B99" s="72">
        <v>112.0</v>
      </c>
      <c r="C99" s="72">
        <v>1120.0</v>
      </c>
      <c r="D99" s="73" t="s">
        <v>179</v>
      </c>
      <c r="E99" s="73" t="s">
        <v>79</v>
      </c>
      <c r="F99" s="74" t="s">
        <v>180</v>
      </c>
      <c r="G99" s="74" t="s">
        <v>26</v>
      </c>
      <c r="H99" s="75" t="s">
        <v>73</v>
      </c>
      <c r="I99" s="99"/>
      <c r="J99" s="26"/>
      <c r="K99" s="5"/>
      <c r="N99" s="87"/>
      <c r="O99" s="88"/>
      <c r="AE99" s="86"/>
    </row>
    <row r="100" ht="15.75" customHeight="1">
      <c r="A100" s="71" t="s">
        <v>141</v>
      </c>
      <c r="B100" s="72">
        <v>113.0</v>
      </c>
      <c r="C100" s="72">
        <v>1130.0</v>
      </c>
      <c r="D100" s="98" t="s">
        <v>181</v>
      </c>
      <c r="E100" s="73" t="s">
        <v>182</v>
      </c>
      <c r="F100" s="74" t="s">
        <v>165</v>
      </c>
      <c r="G100" s="74" t="s">
        <v>32</v>
      </c>
      <c r="H100" s="75" t="s">
        <v>33</v>
      </c>
      <c r="I100" s="99"/>
      <c r="J100" s="26"/>
      <c r="K100" s="5"/>
      <c r="N100" s="87"/>
      <c r="O100" s="88"/>
      <c r="AE100" s="86"/>
    </row>
    <row r="101" ht="15.75" customHeight="1">
      <c r="A101" s="71" t="s">
        <v>141</v>
      </c>
      <c r="B101" s="72">
        <v>119.0</v>
      </c>
      <c r="C101" s="72">
        <v>1190.0</v>
      </c>
      <c r="D101" s="73" t="s">
        <v>183</v>
      </c>
      <c r="E101" s="73" t="s">
        <v>184</v>
      </c>
      <c r="F101" s="74" t="s">
        <v>185</v>
      </c>
      <c r="G101" s="74" t="s">
        <v>157</v>
      </c>
      <c r="H101" s="75" t="s">
        <v>125</v>
      </c>
      <c r="I101" s="99"/>
      <c r="J101" s="26"/>
      <c r="K101" s="5"/>
      <c r="N101" s="87"/>
      <c r="O101" s="88"/>
      <c r="AE101" s="86"/>
    </row>
    <row r="102" ht="15.75" customHeight="1">
      <c r="A102" s="71" t="s">
        <v>141</v>
      </c>
      <c r="B102" s="72">
        <v>123.0</v>
      </c>
      <c r="C102" s="72">
        <v>1230.0</v>
      </c>
      <c r="D102" s="73" t="s">
        <v>186</v>
      </c>
      <c r="E102" s="73" t="s">
        <v>79</v>
      </c>
      <c r="F102" s="74" t="s">
        <v>185</v>
      </c>
      <c r="G102" s="74" t="s">
        <v>26</v>
      </c>
      <c r="H102" s="75" t="s">
        <v>73</v>
      </c>
      <c r="I102" s="99"/>
      <c r="J102" s="26"/>
      <c r="K102" s="5"/>
      <c r="N102" s="87"/>
      <c r="O102" s="88"/>
      <c r="AE102" s="86"/>
    </row>
    <row r="103" ht="15.75" customHeight="1">
      <c r="A103" s="71" t="s">
        <v>141</v>
      </c>
      <c r="B103" s="72">
        <v>124.0</v>
      </c>
      <c r="C103" s="72">
        <v>1240.0</v>
      </c>
      <c r="D103" s="73" t="s">
        <v>187</v>
      </c>
      <c r="E103" s="73" t="s">
        <v>71</v>
      </c>
      <c r="F103" s="74" t="s">
        <v>188</v>
      </c>
      <c r="G103" s="74" t="s">
        <v>40</v>
      </c>
      <c r="H103" s="75" t="s">
        <v>73</v>
      </c>
      <c r="I103" s="99"/>
      <c r="J103" s="26"/>
      <c r="K103" s="5"/>
      <c r="N103" s="87"/>
      <c r="O103" s="88"/>
      <c r="AE103" s="86"/>
    </row>
    <row r="104" ht="15.75" customHeight="1">
      <c r="A104" s="71" t="s">
        <v>141</v>
      </c>
      <c r="B104" s="72">
        <v>125.0</v>
      </c>
      <c r="C104" s="72">
        <v>1250.0</v>
      </c>
      <c r="D104" s="73" t="s">
        <v>189</v>
      </c>
      <c r="E104" s="73" t="s">
        <v>71</v>
      </c>
      <c r="F104" s="74" t="s">
        <v>190</v>
      </c>
      <c r="G104" s="74" t="s">
        <v>40</v>
      </c>
      <c r="H104" s="75" t="s">
        <v>73</v>
      </c>
      <c r="I104" s="99"/>
      <c r="J104" s="26"/>
      <c r="K104" s="5"/>
      <c r="N104" s="87"/>
      <c r="O104" s="88"/>
      <c r="AE104" s="86"/>
    </row>
    <row r="105" ht="15.75" customHeight="1">
      <c r="A105" s="71" t="s">
        <v>141</v>
      </c>
      <c r="B105" s="72">
        <v>128.0</v>
      </c>
      <c r="C105" s="72">
        <v>1280.0</v>
      </c>
      <c r="D105" s="98" t="s">
        <v>90</v>
      </c>
      <c r="E105" s="73" t="s">
        <v>60</v>
      </c>
      <c r="F105" s="74" t="s">
        <v>159</v>
      </c>
      <c r="G105" s="74" t="s">
        <v>32</v>
      </c>
      <c r="H105" s="75" t="s">
        <v>61</v>
      </c>
      <c r="I105" s="99"/>
      <c r="J105" s="26"/>
      <c r="K105" s="5"/>
      <c r="N105" s="87"/>
      <c r="O105" s="88"/>
      <c r="AE105" s="86"/>
    </row>
    <row r="106" ht="15.75" customHeight="1">
      <c r="A106" s="71" t="s">
        <v>141</v>
      </c>
      <c r="B106" s="72">
        <v>137.0</v>
      </c>
      <c r="C106" s="72">
        <v>1370.0</v>
      </c>
      <c r="D106" s="73" t="s">
        <v>191</v>
      </c>
      <c r="E106" s="73" t="s">
        <v>71</v>
      </c>
      <c r="F106" s="74" t="s">
        <v>192</v>
      </c>
      <c r="G106" s="74" t="s">
        <v>40</v>
      </c>
      <c r="H106" s="75" t="s">
        <v>73</v>
      </c>
      <c r="I106" s="99"/>
      <c r="J106" s="26"/>
      <c r="K106" s="5"/>
      <c r="N106" s="87"/>
      <c r="O106" s="88"/>
      <c r="AE106" s="86"/>
    </row>
    <row r="107" ht="15.75" customHeight="1">
      <c r="A107" s="71" t="s">
        <v>141</v>
      </c>
      <c r="B107" s="72">
        <v>138.0</v>
      </c>
      <c r="C107" s="72">
        <v>1380.0</v>
      </c>
      <c r="D107" s="98" t="s">
        <v>193</v>
      </c>
      <c r="E107" s="73" t="s">
        <v>60</v>
      </c>
      <c r="F107" s="74" t="s">
        <v>194</v>
      </c>
      <c r="G107" s="74" t="s">
        <v>32</v>
      </c>
      <c r="H107" s="75" t="s">
        <v>61</v>
      </c>
      <c r="I107" s="99"/>
      <c r="J107" s="26"/>
      <c r="K107" s="5"/>
      <c r="N107" s="87"/>
      <c r="O107" s="88"/>
      <c r="AE107" s="86"/>
    </row>
    <row r="108" ht="15.75" customHeight="1">
      <c r="A108" s="71" t="s">
        <v>141</v>
      </c>
      <c r="B108" s="72">
        <v>146.0</v>
      </c>
      <c r="C108" s="72">
        <v>1460.0</v>
      </c>
      <c r="D108" s="73" t="s">
        <v>195</v>
      </c>
      <c r="E108" s="73" t="s">
        <v>71</v>
      </c>
      <c r="F108" s="74" t="s">
        <v>196</v>
      </c>
      <c r="G108" s="74" t="s">
        <v>40</v>
      </c>
      <c r="H108" s="75" t="s">
        <v>73</v>
      </c>
      <c r="I108" s="99"/>
      <c r="J108" s="26"/>
      <c r="K108" s="5"/>
      <c r="N108" s="87"/>
      <c r="O108" s="88"/>
      <c r="AE108" s="86"/>
    </row>
    <row r="109" ht="15.75" customHeight="1">
      <c r="A109" s="71" t="s">
        <v>141</v>
      </c>
      <c r="B109" s="72">
        <v>147.0</v>
      </c>
      <c r="C109" s="72">
        <v>1470.0</v>
      </c>
      <c r="D109" s="98" t="s">
        <v>106</v>
      </c>
      <c r="E109" s="73" t="s">
        <v>60</v>
      </c>
      <c r="F109" s="74" t="s">
        <v>165</v>
      </c>
      <c r="G109" s="74" t="s">
        <v>32</v>
      </c>
      <c r="H109" s="75" t="s">
        <v>61</v>
      </c>
      <c r="I109" s="99"/>
      <c r="J109" s="26"/>
      <c r="K109" s="5"/>
      <c r="N109" s="87"/>
      <c r="O109" s="88"/>
      <c r="AE109" s="86"/>
    </row>
    <row r="110" ht="15.75" customHeight="1">
      <c r="A110" s="71" t="s">
        <v>141</v>
      </c>
      <c r="B110" s="72">
        <v>151.0</v>
      </c>
      <c r="C110" s="72">
        <v>1510.0</v>
      </c>
      <c r="D110" s="98" t="s">
        <v>197</v>
      </c>
      <c r="E110" s="73" t="s">
        <v>60</v>
      </c>
      <c r="F110" s="74" t="s">
        <v>198</v>
      </c>
      <c r="G110" s="74" t="s">
        <v>32</v>
      </c>
      <c r="H110" s="75" t="s">
        <v>61</v>
      </c>
      <c r="I110" s="99"/>
      <c r="J110" s="26"/>
      <c r="K110" s="5"/>
      <c r="N110" s="87"/>
      <c r="O110" s="88"/>
      <c r="AE110" s="86"/>
    </row>
    <row r="111" ht="15.75" customHeight="1">
      <c r="A111" s="71" t="s">
        <v>141</v>
      </c>
      <c r="B111" s="72">
        <v>159.0</v>
      </c>
      <c r="C111" s="72">
        <v>1590.0</v>
      </c>
      <c r="D111" s="73" t="s">
        <v>199</v>
      </c>
      <c r="E111" s="73" t="s">
        <v>71</v>
      </c>
      <c r="F111" s="74" t="s">
        <v>200</v>
      </c>
      <c r="G111" s="74" t="s">
        <v>40</v>
      </c>
      <c r="H111" s="75" t="s">
        <v>73</v>
      </c>
      <c r="I111" s="99"/>
      <c r="J111" s="26"/>
      <c r="K111" s="5"/>
      <c r="N111" s="87"/>
      <c r="O111" s="88"/>
      <c r="AE111" s="86"/>
    </row>
    <row r="112" ht="15.75" customHeight="1">
      <c r="A112" s="71" t="s">
        <v>141</v>
      </c>
      <c r="B112" s="72">
        <v>160.0</v>
      </c>
      <c r="C112" s="72">
        <v>1600.0</v>
      </c>
      <c r="D112" s="98" t="s">
        <v>114</v>
      </c>
      <c r="E112" s="73" t="s">
        <v>30</v>
      </c>
      <c r="F112" s="74" t="s">
        <v>165</v>
      </c>
      <c r="G112" s="74" t="s">
        <v>32</v>
      </c>
      <c r="H112" s="75" t="s">
        <v>33</v>
      </c>
      <c r="I112" s="99"/>
      <c r="J112" s="26"/>
      <c r="K112" s="5"/>
      <c r="N112" s="87"/>
      <c r="O112" s="88"/>
      <c r="AE112" s="86"/>
    </row>
    <row r="113" ht="15.75" customHeight="1">
      <c r="A113" s="71" t="s">
        <v>141</v>
      </c>
      <c r="B113" s="72">
        <v>168.0</v>
      </c>
      <c r="C113" s="72">
        <v>1680.0</v>
      </c>
      <c r="D113" s="73" t="s">
        <v>201</v>
      </c>
      <c r="E113" s="73" t="s">
        <v>71</v>
      </c>
      <c r="F113" s="74" t="s">
        <v>192</v>
      </c>
      <c r="G113" s="74" t="s">
        <v>40</v>
      </c>
      <c r="H113" s="75" t="s">
        <v>73</v>
      </c>
      <c r="I113" s="99"/>
      <c r="J113" s="26"/>
      <c r="K113" s="5"/>
      <c r="N113" s="87"/>
      <c r="O113" s="88"/>
      <c r="AE113" s="86"/>
    </row>
    <row r="114" ht="15.75" customHeight="1">
      <c r="A114" s="71" t="s">
        <v>141</v>
      </c>
      <c r="B114" s="72">
        <v>169.0</v>
      </c>
      <c r="C114" s="72">
        <v>1690.0</v>
      </c>
      <c r="D114" s="98" t="s">
        <v>202</v>
      </c>
      <c r="E114" s="73" t="s">
        <v>30</v>
      </c>
      <c r="F114" s="74" t="s">
        <v>203</v>
      </c>
      <c r="G114" s="74" t="s">
        <v>32</v>
      </c>
      <c r="H114" s="75" t="s">
        <v>33</v>
      </c>
      <c r="I114" s="99"/>
      <c r="J114" s="26"/>
      <c r="K114" s="5"/>
      <c r="N114" s="87"/>
      <c r="O114" s="88"/>
      <c r="AE114" s="86"/>
    </row>
    <row r="115" ht="15.75" customHeight="1">
      <c r="A115" s="71" t="s">
        <v>141</v>
      </c>
      <c r="B115" s="72">
        <v>178.0</v>
      </c>
      <c r="C115" s="72">
        <v>1780.0</v>
      </c>
      <c r="D115" s="73" t="s">
        <v>204</v>
      </c>
      <c r="E115" s="73" t="s">
        <v>96</v>
      </c>
      <c r="F115" s="100" t="s">
        <v>205</v>
      </c>
      <c r="G115" s="74" t="s">
        <v>34</v>
      </c>
      <c r="H115" s="75" t="s">
        <v>73</v>
      </c>
      <c r="I115" s="99"/>
      <c r="J115" s="26"/>
      <c r="K115" s="5"/>
      <c r="N115" s="87"/>
      <c r="O115" s="88"/>
      <c r="AE115" s="86"/>
    </row>
    <row r="116" ht="15.75" customHeight="1">
      <c r="A116" s="71" t="s">
        <v>141</v>
      </c>
      <c r="B116" s="72">
        <v>179.0</v>
      </c>
      <c r="C116" s="72">
        <v>1790.0</v>
      </c>
      <c r="D116" s="73" t="s">
        <v>206</v>
      </c>
      <c r="E116" s="73" t="s">
        <v>79</v>
      </c>
      <c r="F116" s="100" t="s">
        <v>207</v>
      </c>
      <c r="G116" s="74" t="s">
        <v>26</v>
      </c>
      <c r="H116" s="75" t="s">
        <v>73</v>
      </c>
      <c r="I116" s="99"/>
      <c r="J116" s="26"/>
      <c r="K116" s="5"/>
      <c r="N116" s="87"/>
      <c r="O116" s="88"/>
      <c r="AE116" s="86"/>
    </row>
    <row r="117" ht="15.75" customHeight="1">
      <c r="A117" s="71" t="s">
        <v>141</v>
      </c>
      <c r="B117" s="72">
        <v>180.0</v>
      </c>
      <c r="C117" s="72">
        <v>1800.0</v>
      </c>
      <c r="D117" s="73" t="s">
        <v>208</v>
      </c>
      <c r="E117" s="73" t="s">
        <v>71</v>
      </c>
      <c r="F117" s="100" t="s">
        <v>209</v>
      </c>
      <c r="G117" s="74" t="s">
        <v>40</v>
      </c>
      <c r="H117" s="75" t="s">
        <v>73</v>
      </c>
      <c r="I117" s="99"/>
      <c r="J117" s="26"/>
      <c r="K117" s="5"/>
      <c r="N117" s="87"/>
      <c r="O117" s="88"/>
      <c r="AE117" s="86"/>
    </row>
    <row r="118" ht="15.75" customHeight="1">
      <c r="A118" s="71" t="s">
        <v>141</v>
      </c>
      <c r="B118" s="72">
        <v>181.0</v>
      </c>
      <c r="C118" s="72">
        <v>1810.0</v>
      </c>
      <c r="D118" s="98" t="s">
        <v>210</v>
      </c>
      <c r="E118" s="73" t="s">
        <v>30</v>
      </c>
      <c r="F118" s="74" t="s">
        <v>165</v>
      </c>
      <c r="G118" s="74" t="s">
        <v>32</v>
      </c>
      <c r="H118" s="75" t="s">
        <v>33</v>
      </c>
      <c r="I118" s="99"/>
      <c r="J118" s="26"/>
      <c r="K118" s="5"/>
      <c r="N118" s="87"/>
      <c r="O118" s="88"/>
      <c r="AE118" s="86"/>
    </row>
    <row r="119" ht="15.75" customHeight="1">
      <c r="A119" s="71" t="s">
        <v>141</v>
      </c>
      <c r="B119" s="72">
        <v>185.0</v>
      </c>
      <c r="C119" s="72">
        <v>1850.0</v>
      </c>
      <c r="D119" s="98" t="s">
        <v>211</v>
      </c>
      <c r="E119" s="73" t="s">
        <v>30</v>
      </c>
      <c r="F119" s="74" t="s">
        <v>212</v>
      </c>
      <c r="G119" s="74" t="s">
        <v>32</v>
      </c>
      <c r="H119" s="75" t="s">
        <v>33</v>
      </c>
      <c r="I119" s="99"/>
      <c r="J119" s="26"/>
      <c r="K119" s="5"/>
      <c r="N119" s="87"/>
      <c r="O119" s="88"/>
      <c r="AE119" s="86"/>
    </row>
    <row r="120" ht="15.75" customHeight="1">
      <c r="A120" s="71" t="s">
        <v>141</v>
      </c>
      <c r="B120" s="72">
        <v>195.0</v>
      </c>
      <c r="C120" s="72">
        <v>1950.0</v>
      </c>
      <c r="D120" s="73" t="s">
        <v>213</v>
      </c>
      <c r="E120" s="73" t="s">
        <v>96</v>
      </c>
      <c r="F120" s="100" t="s">
        <v>205</v>
      </c>
      <c r="G120" s="74" t="s">
        <v>34</v>
      </c>
      <c r="H120" s="75" t="s">
        <v>73</v>
      </c>
      <c r="I120" s="99"/>
      <c r="J120" s="26"/>
      <c r="K120" s="5"/>
      <c r="N120" s="87"/>
      <c r="O120" s="88"/>
      <c r="AE120" s="86"/>
    </row>
    <row r="121" ht="15.75" customHeight="1">
      <c r="A121" s="71" t="s">
        <v>141</v>
      </c>
      <c r="B121" s="72">
        <v>196.0</v>
      </c>
      <c r="C121" s="72">
        <v>1960.0</v>
      </c>
      <c r="D121" s="73" t="s">
        <v>214</v>
      </c>
      <c r="E121" s="73" t="s">
        <v>79</v>
      </c>
      <c r="F121" s="100" t="s">
        <v>215</v>
      </c>
      <c r="G121" s="74" t="s">
        <v>26</v>
      </c>
      <c r="H121" s="75" t="s">
        <v>73</v>
      </c>
      <c r="I121" s="99"/>
      <c r="J121" s="26"/>
      <c r="K121" s="5"/>
      <c r="N121" s="87"/>
      <c r="O121" s="88"/>
      <c r="AE121" s="86"/>
    </row>
    <row r="122" ht="15.75" customHeight="1">
      <c r="A122" s="71" t="s">
        <v>141</v>
      </c>
      <c r="B122" s="72">
        <v>197.0</v>
      </c>
      <c r="C122" s="72">
        <v>1970.0</v>
      </c>
      <c r="D122" s="73" t="s">
        <v>216</v>
      </c>
      <c r="E122" s="73" t="s">
        <v>71</v>
      </c>
      <c r="F122" s="100" t="s">
        <v>217</v>
      </c>
      <c r="G122" s="74" t="s">
        <v>40</v>
      </c>
      <c r="H122" s="75" t="s">
        <v>73</v>
      </c>
      <c r="I122" s="99"/>
      <c r="J122" s="26"/>
      <c r="K122" s="5"/>
      <c r="N122" s="87"/>
      <c r="O122" s="88"/>
      <c r="AE122" s="86"/>
    </row>
    <row r="123" ht="15.75" customHeight="1">
      <c r="A123" s="71" t="s">
        <v>141</v>
      </c>
      <c r="B123" s="72">
        <v>198.0</v>
      </c>
      <c r="C123" s="72">
        <v>1980.0</v>
      </c>
      <c r="D123" s="98" t="s">
        <v>218</v>
      </c>
      <c r="E123" s="73" t="s">
        <v>30</v>
      </c>
      <c r="F123" s="74" t="s">
        <v>165</v>
      </c>
      <c r="G123" s="74" t="s">
        <v>32</v>
      </c>
      <c r="H123" s="75" t="s">
        <v>33</v>
      </c>
      <c r="I123" s="99"/>
      <c r="J123" s="26"/>
      <c r="K123" s="5"/>
      <c r="N123" s="87"/>
      <c r="O123" s="88"/>
      <c r="AE123" s="86"/>
    </row>
    <row r="124" ht="15.75" customHeight="1">
      <c r="A124" s="71" t="s">
        <v>141</v>
      </c>
      <c r="B124" s="72">
        <v>202.0</v>
      </c>
      <c r="C124" s="72">
        <v>2020.0</v>
      </c>
      <c r="D124" s="98" t="s">
        <v>219</v>
      </c>
      <c r="E124" s="73" t="s">
        <v>30</v>
      </c>
      <c r="F124" s="74" t="s">
        <v>220</v>
      </c>
      <c r="G124" s="74" t="s">
        <v>32</v>
      </c>
      <c r="H124" s="75" t="s">
        <v>33</v>
      </c>
      <c r="I124" s="99"/>
      <c r="J124" s="26"/>
      <c r="K124" s="5"/>
      <c r="N124" s="87"/>
      <c r="O124" s="88"/>
      <c r="AE124" s="86"/>
    </row>
    <row r="125" ht="15.75" customHeight="1">
      <c r="A125" s="71" t="s">
        <v>141</v>
      </c>
      <c r="B125" s="72">
        <v>212.0</v>
      </c>
      <c r="C125" s="72">
        <v>2120.0</v>
      </c>
      <c r="D125" s="73" t="s">
        <v>221</v>
      </c>
      <c r="E125" s="73" t="s">
        <v>79</v>
      </c>
      <c r="F125" s="100" t="s">
        <v>80</v>
      </c>
      <c r="G125" s="74" t="s">
        <v>26</v>
      </c>
      <c r="H125" s="75" t="s">
        <v>73</v>
      </c>
      <c r="I125" s="99"/>
      <c r="J125" s="26"/>
      <c r="K125" s="5"/>
      <c r="N125" s="87"/>
      <c r="O125" s="88"/>
      <c r="AE125" s="86"/>
    </row>
    <row r="126" ht="15.75" customHeight="1">
      <c r="A126" s="71" t="s">
        <v>141</v>
      </c>
      <c r="B126" s="72">
        <v>213.0</v>
      </c>
      <c r="C126" s="72">
        <v>2130.0</v>
      </c>
      <c r="D126" s="73" t="s">
        <v>222</v>
      </c>
      <c r="E126" s="73" t="s">
        <v>223</v>
      </c>
      <c r="F126" s="100" t="s">
        <v>224</v>
      </c>
      <c r="G126" s="74" t="s">
        <v>156</v>
      </c>
      <c r="H126" s="75" t="s">
        <v>73</v>
      </c>
      <c r="I126" s="99"/>
      <c r="J126" s="26"/>
      <c r="K126" s="5"/>
      <c r="N126" s="87"/>
      <c r="O126" s="88"/>
      <c r="AE126" s="86"/>
    </row>
    <row r="127" ht="15.75" customHeight="1">
      <c r="A127" s="71" t="s">
        <v>141</v>
      </c>
      <c r="B127" s="72">
        <v>214.0</v>
      </c>
      <c r="C127" s="72">
        <v>2140.0</v>
      </c>
      <c r="D127" s="73" t="s">
        <v>225</v>
      </c>
      <c r="E127" s="73" t="s">
        <v>71</v>
      </c>
      <c r="F127" s="100" t="s">
        <v>226</v>
      </c>
      <c r="G127" s="74" t="s">
        <v>40</v>
      </c>
      <c r="H127" s="75" t="s">
        <v>73</v>
      </c>
      <c r="I127" s="99"/>
      <c r="J127" s="26"/>
      <c r="K127" s="5"/>
      <c r="N127" s="87"/>
      <c r="O127" s="88"/>
      <c r="AE127" s="86"/>
    </row>
    <row r="128" ht="15.75" customHeight="1">
      <c r="A128" s="71" t="s">
        <v>141</v>
      </c>
      <c r="B128" s="72">
        <v>215.0</v>
      </c>
      <c r="C128" s="72">
        <v>2150.0</v>
      </c>
      <c r="D128" s="73" t="s">
        <v>227</v>
      </c>
      <c r="E128" s="73" t="s">
        <v>79</v>
      </c>
      <c r="F128" s="100" t="s">
        <v>80</v>
      </c>
      <c r="G128" s="74" t="s">
        <v>26</v>
      </c>
      <c r="H128" s="75" t="s">
        <v>73</v>
      </c>
      <c r="I128" s="99"/>
      <c r="J128" s="26"/>
      <c r="K128" s="5"/>
      <c r="N128" s="87"/>
      <c r="O128" s="88"/>
      <c r="AE128" s="86"/>
    </row>
    <row r="129" ht="15.75" customHeight="1">
      <c r="A129" s="71" t="s">
        <v>141</v>
      </c>
      <c r="B129" s="72">
        <v>216.0</v>
      </c>
      <c r="C129" s="72">
        <v>2160.0</v>
      </c>
      <c r="D129" s="73" t="s">
        <v>228</v>
      </c>
      <c r="E129" s="73" t="s">
        <v>223</v>
      </c>
      <c r="F129" s="100" t="s">
        <v>229</v>
      </c>
      <c r="G129" s="74" t="s">
        <v>156</v>
      </c>
      <c r="H129" s="75" t="s">
        <v>73</v>
      </c>
      <c r="I129" s="99"/>
      <c r="J129" s="26"/>
      <c r="K129" s="5"/>
      <c r="N129" s="87"/>
      <c r="O129" s="88"/>
      <c r="AE129" s="86"/>
    </row>
    <row r="130" ht="15.75" customHeight="1">
      <c r="A130" s="71" t="s">
        <v>141</v>
      </c>
      <c r="B130" s="72">
        <v>217.0</v>
      </c>
      <c r="C130" s="72">
        <v>2170.0</v>
      </c>
      <c r="D130" s="98" t="s">
        <v>230</v>
      </c>
      <c r="E130" s="73" t="s">
        <v>30</v>
      </c>
      <c r="F130" s="74" t="s">
        <v>165</v>
      </c>
      <c r="G130" s="74" t="s">
        <v>32</v>
      </c>
      <c r="H130" s="75" t="s">
        <v>33</v>
      </c>
      <c r="I130" s="99"/>
      <c r="J130" s="26"/>
      <c r="K130" s="5"/>
      <c r="N130" s="87"/>
      <c r="O130" s="88"/>
      <c r="AE130" s="86"/>
    </row>
    <row r="131" ht="15.75" customHeight="1">
      <c r="A131" s="101" t="s">
        <v>141</v>
      </c>
      <c r="B131" s="72">
        <v>223.0</v>
      </c>
      <c r="C131" s="72">
        <v>2230.0</v>
      </c>
      <c r="D131" s="98" t="s">
        <v>231</v>
      </c>
      <c r="E131" s="73" t="s">
        <v>30</v>
      </c>
      <c r="F131" s="74" t="s">
        <v>165</v>
      </c>
      <c r="G131" s="74" t="s">
        <v>32</v>
      </c>
      <c r="H131" s="75" t="s">
        <v>33</v>
      </c>
      <c r="I131" s="102"/>
      <c r="J131" s="103"/>
      <c r="K131" s="104"/>
      <c r="L131" s="105"/>
      <c r="M131" s="105"/>
      <c r="N131" s="106"/>
      <c r="O131" s="88"/>
      <c r="AE131" s="86"/>
    </row>
    <row r="132" ht="15.75" customHeight="1">
      <c r="A132" s="107" t="s">
        <v>232</v>
      </c>
      <c r="B132" s="72">
        <v>236.0</v>
      </c>
      <c r="C132" s="72">
        <v>2360.0</v>
      </c>
      <c r="D132" s="108" t="s">
        <v>233</v>
      </c>
      <c r="E132" s="108" t="s">
        <v>234</v>
      </c>
      <c r="F132" s="109"/>
      <c r="G132" s="110" t="s">
        <v>235</v>
      </c>
      <c r="H132" s="110" t="s">
        <v>236</v>
      </c>
      <c r="I132" s="111"/>
      <c r="J132" s="112">
        <v>0.0</v>
      </c>
      <c r="K132" s="113" t="s">
        <v>156</v>
      </c>
      <c r="L132" s="112"/>
      <c r="M132" s="112">
        <f>J132*'Reference Values'!$C$2</f>
        <v>0</v>
      </c>
      <c r="N132" s="114">
        <f>M132*'Reference Values'!$C$18</f>
        <v>0</v>
      </c>
      <c r="O132" s="40">
        <f>N132*'Reference Values'!$D$18</f>
        <v>0</v>
      </c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2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</row>
    <row r="133" ht="15.75" customHeight="1">
      <c r="A133" s="107" t="s">
        <v>232</v>
      </c>
      <c r="B133" s="72">
        <v>237.0</v>
      </c>
      <c r="C133" s="72">
        <v>2370.0</v>
      </c>
      <c r="D133" s="108" t="s">
        <v>237</v>
      </c>
      <c r="E133" s="108" t="s">
        <v>238</v>
      </c>
      <c r="F133" s="109"/>
      <c r="G133" s="110" t="s">
        <v>156</v>
      </c>
      <c r="H133" s="110" t="s">
        <v>38</v>
      </c>
      <c r="I133" s="64"/>
      <c r="J133" s="43">
        <f>3000</f>
        <v>3000</v>
      </c>
      <c r="K133" s="115" t="s">
        <v>32</v>
      </c>
      <c r="L133" s="48"/>
      <c r="M133" s="112">
        <f>J133*'Reference Values'!$C$2</f>
        <v>2.12058E+20</v>
      </c>
      <c r="N133" s="116">
        <f>M133*'Reference Values'!$C$17</f>
        <v>0.204847549</v>
      </c>
      <c r="O133" s="50">
        <f>N133*'Reference Values'!$D$17</f>
        <v>0.8603597057</v>
      </c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51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</row>
    <row r="134" ht="15.75" customHeight="1">
      <c r="A134" s="107" t="s">
        <v>232</v>
      </c>
      <c r="B134" s="72">
        <v>549.0</v>
      </c>
      <c r="C134" s="72">
        <v>5490.0</v>
      </c>
      <c r="D134" s="108" t="s">
        <v>239</v>
      </c>
      <c r="E134" s="108" t="s">
        <v>30</v>
      </c>
      <c r="F134" s="110" t="s">
        <v>159</v>
      </c>
      <c r="G134" s="110" t="s">
        <v>32</v>
      </c>
      <c r="H134" s="110" t="s">
        <v>33</v>
      </c>
      <c r="I134" s="64"/>
      <c r="J134" s="43">
        <v>30.0</v>
      </c>
      <c r="K134" s="117" t="s">
        <v>240</v>
      </c>
      <c r="L134" s="43" t="s">
        <v>28</v>
      </c>
      <c r="M134" s="112">
        <f>J134*'Reference Values'!$C$2</f>
        <v>2.12058E+18</v>
      </c>
      <c r="N134" s="116">
        <f>M134*'Reference Values'!$C$7</f>
        <v>0.004856116844</v>
      </c>
      <c r="O134" s="50">
        <f>N134*'Reference Values'!$D$7</f>
        <v>1.5</v>
      </c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51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</row>
    <row r="135" ht="15.75" customHeight="1">
      <c r="A135" s="107" t="s">
        <v>232</v>
      </c>
      <c r="B135" s="72">
        <v>554.0</v>
      </c>
      <c r="C135" s="72">
        <v>5540.0</v>
      </c>
      <c r="D135" s="108" t="s">
        <v>241</v>
      </c>
      <c r="E135" s="108" t="s">
        <v>242</v>
      </c>
      <c r="F135" s="109" t="s">
        <v>25</v>
      </c>
      <c r="G135" s="110" t="s">
        <v>240</v>
      </c>
      <c r="H135" s="110" t="s">
        <v>73</v>
      </c>
      <c r="I135" s="64"/>
      <c r="J135" s="43">
        <v>1630.0</v>
      </c>
      <c r="K135" s="117" t="s">
        <v>40</v>
      </c>
      <c r="L135" s="43" t="s">
        <v>28</v>
      </c>
      <c r="M135" s="112">
        <f>J135*'Reference Values'!$C$2</f>
        <v>1.15218E+20</v>
      </c>
      <c r="N135" s="49">
        <f>M135*'Reference Values'!$C$20</f>
        <v>0.2454141495</v>
      </c>
      <c r="O135" s="50">
        <f>N135*'Reference Values'!$D$20</f>
        <v>0.5022311943</v>
      </c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51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</row>
    <row r="136" ht="15.75" customHeight="1">
      <c r="A136" s="107" t="s">
        <v>232</v>
      </c>
      <c r="B136" s="72">
        <v>555.0</v>
      </c>
      <c r="C136" s="72">
        <v>5550.0</v>
      </c>
      <c r="D136" s="108" t="s">
        <v>88</v>
      </c>
      <c r="E136" s="108" t="s">
        <v>71</v>
      </c>
      <c r="F136" s="110" t="s">
        <v>93</v>
      </c>
      <c r="G136" s="110" t="s">
        <v>40</v>
      </c>
      <c r="H136" s="110" t="s">
        <v>73</v>
      </c>
      <c r="I136" s="64"/>
      <c r="J136" s="43">
        <f>40</f>
        <v>40</v>
      </c>
      <c r="K136" s="117" t="s">
        <v>137</v>
      </c>
      <c r="L136" s="43" t="s">
        <v>28</v>
      </c>
      <c r="M136" s="112">
        <f>J136*'Reference Values'!$C$2</f>
        <v>2.82743E+18</v>
      </c>
      <c r="N136" s="49">
        <f>M136*'Reference Values'!$C$26</f>
        <v>0.01473092795</v>
      </c>
      <c r="O136" s="50">
        <f>N136*'Reference Values'!$D$26</f>
        <v>0.647834275</v>
      </c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51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</row>
    <row r="137" ht="15.75" customHeight="1">
      <c r="A137" s="107" t="s">
        <v>232</v>
      </c>
      <c r="B137" s="72">
        <v>557.0</v>
      </c>
      <c r="C137" s="72">
        <v>5570.0</v>
      </c>
      <c r="D137" s="108" t="s">
        <v>88</v>
      </c>
      <c r="E137" s="108" t="s">
        <v>71</v>
      </c>
      <c r="F137" s="110" t="s">
        <v>243</v>
      </c>
      <c r="G137" s="110" t="s">
        <v>40</v>
      </c>
      <c r="H137" s="110" t="s">
        <v>73</v>
      </c>
      <c r="I137" s="64"/>
      <c r="J137" s="43">
        <f>300</f>
        <v>300</v>
      </c>
      <c r="K137" s="117" t="s">
        <v>54</v>
      </c>
      <c r="L137" s="43" t="s">
        <v>28</v>
      </c>
      <c r="M137" s="112">
        <f>J137*'Reference Values'!$C$2</f>
        <v>2.12058E+19</v>
      </c>
      <c r="N137" s="49">
        <f>M137*'Reference Values'!$C$27</f>
        <v>0.4092709829</v>
      </c>
      <c r="O137" s="50">
        <f>N137*'Reference Values'!$D$27</f>
        <v>31.02885139</v>
      </c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51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</row>
    <row r="138" ht="15.75" customHeight="1">
      <c r="A138" s="107" t="s">
        <v>232</v>
      </c>
      <c r="B138" s="72">
        <v>558.0</v>
      </c>
      <c r="C138" s="72">
        <v>5580.0</v>
      </c>
      <c r="D138" s="98" t="s">
        <v>244</v>
      </c>
      <c r="E138" s="108" t="s">
        <v>30</v>
      </c>
      <c r="F138" s="110" t="s">
        <v>159</v>
      </c>
      <c r="G138" s="110" t="s">
        <v>32</v>
      </c>
      <c r="H138" s="110" t="s">
        <v>33</v>
      </c>
      <c r="I138" s="64"/>
      <c r="J138" s="43">
        <f>60</f>
        <v>60</v>
      </c>
      <c r="K138" s="117" t="s">
        <v>245</v>
      </c>
      <c r="L138" s="43" t="s">
        <v>28</v>
      </c>
      <c r="M138" s="112">
        <f>J138*'Reference Values'!$C$2</f>
        <v>4.24115E+18</v>
      </c>
      <c r="N138" s="116">
        <f>M138*'Reference Values'!$C$25</f>
        <v>0.0152681403</v>
      </c>
      <c r="O138" s="50">
        <f>N138*'Reference Values'!$D$25</f>
        <v>0.4455261274</v>
      </c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51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</row>
    <row r="139" ht="15.75" customHeight="1">
      <c r="A139" s="107" t="s">
        <v>232</v>
      </c>
      <c r="B139" s="72">
        <v>562.0</v>
      </c>
      <c r="C139" s="72">
        <v>5620.0</v>
      </c>
      <c r="D139" s="108" t="s">
        <v>88</v>
      </c>
      <c r="E139" s="108" t="s">
        <v>71</v>
      </c>
      <c r="F139" s="110" t="s">
        <v>39</v>
      </c>
      <c r="G139" s="110" t="s">
        <v>40</v>
      </c>
      <c r="H139" s="110" t="s">
        <v>73</v>
      </c>
      <c r="I139" s="64"/>
      <c r="J139" s="43">
        <f>670</f>
        <v>670</v>
      </c>
      <c r="K139" s="117" t="s">
        <v>246</v>
      </c>
      <c r="L139" s="43" t="s">
        <v>28</v>
      </c>
      <c r="M139" s="112">
        <f>J139*'Reference Values'!$C$2</f>
        <v>4.73595E+19</v>
      </c>
      <c r="N139" s="116">
        <f>M139*'Reference Values'!$C$10</f>
        <v>0.2761059389</v>
      </c>
      <c r="O139" s="50">
        <f>N139*'Reference Values'!$D$10</f>
        <v>2.321635938</v>
      </c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51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</row>
    <row r="140" ht="15.75" customHeight="1">
      <c r="A140" s="107" t="s">
        <v>232</v>
      </c>
      <c r="B140" s="72">
        <v>564.0</v>
      </c>
      <c r="C140" s="72">
        <v>5640.0</v>
      </c>
      <c r="D140" s="108" t="s">
        <v>247</v>
      </c>
      <c r="E140" s="108" t="s">
        <v>135</v>
      </c>
      <c r="F140" s="110" t="s">
        <v>133</v>
      </c>
      <c r="G140" s="110" t="s">
        <v>137</v>
      </c>
      <c r="H140" s="110" t="s">
        <v>94</v>
      </c>
      <c r="I140" s="64"/>
      <c r="J140" s="43">
        <f>20</f>
        <v>20</v>
      </c>
      <c r="K140" s="117" t="s">
        <v>137</v>
      </c>
      <c r="L140" s="43" t="s">
        <v>28</v>
      </c>
      <c r="M140" s="112">
        <f>J140*'Reference Values'!$C$2</f>
        <v>1.41372E+18</v>
      </c>
      <c r="N140" s="49">
        <f>M140*'Reference Values'!$C$26</f>
        <v>0.007365463976</v>
      </c>
      <c r="O140" s="50">
        <f>N140*'Reference Values'!$D$26</f>
        <v>0.3239171375</v>
      </c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51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</row>
    <row r="141" ht="15.75" customHeight="1">
      <c r="A141" s="107" t="s">
        <v>232</v>
      </c>
      <c r="B141" s="72">
        <v>565.0</v>
      </c>
      <c r="C141" s="72">
        <v>5650.0</v>
      </c>
      <c r="D141" s="108" t="s">
        <v>130</v>
      </c>
      <c r="E141" s="108" t="s">
        <v>138</v>
      </c>
      <c r="F141" s="110" t="s">
        <v>226</v>
      </c>
      <c r="G141" s="110" t="s">
        <v>54</v>
      </c>
      <c r="H141" s="110" t="s">
        <v>94</v>
      </c>
      <c r="I141" s="64"/>
      <c r="J141" s="43">
        <f>25</f>
        <v>25</v>
      </c>
      <c r="K141" s="117" t="s">
        <v>34</v>
      </c>
      <c r="L141" s="43" t="s">
        <v>28</v>
      </c>
      <c r="M141" s="112">
        <f>J141*'Reference Values'!$C$2</f>
        <v>1.76715E+18</v>
      </c>
      <c r="N141" s="116">
        <f>M141*'Reference Values'!$C$21</f>
        <v>0.004965679888</v>
      </c>
      <c r="O141" s="50">
        <f>N141*'Reference Values'!$D$21</f>
        <v>0.1880530974</v>
      </c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51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</row>
    <row r="142" ht="15.75" customHeight="1">
      <c r="A142" s="107" t="s">
        <v>232</v>
      </c>
      <c r="B142" s="72">
        <v>568.0</v>
      </c>
      <c r="C142" s="72">
        <v>5680.0</v>
      </c>
      <c r="D142" s="108" t="s">
        <v>248</v>
      </c>
      <c r="E142" s="108" t="s">
        <v>249</v>
      </c>
      <c r="F142" s="110" t="s">
        <v>224</v>
      </c>
      <c r="G142" s="110" t="s">
        <v>245</v>
      </c>
      <c r="H142" s="110" t="s">
        <v>125</v>
      </c>
      <c r="I142" s="64"/>
      <c r="J142" s="43"/>
      <c r="K142" s="118"/>
      <c r="L142" s="43"/>
      <c r="M142" s="43"/>
      <c r="N142" s="119"/>
      <c r="O142" s="56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51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</row>
    <row r="143" ht="15.75" customHeight="1">
      <c r="A143" s="107" t="s">
        <v>232</v>
      </c>
      <c r="B143" s="72">
        <v>569.0</v>
      </c>
      <c r="C143" s="72">
        <v>5690.0</v>
      </c>
      <c r="D143" s="108" t="s">
        <v>250</v>
      </c>
      <c r="E143" s="108" t="s">
        <v>251</v>
      </c>
      <c r="F143" s="110" t="s">
        <v>252</v>
      </c>
      <c r="G143" s="110" t="s">
        <v>246</v>
      </c>
      <c r="H143" s="110" t="s">
        <v>125</v>
      </c>
      <c r="I143" s="64"/>
      <c r="J143" s="43"/>
      <c r="K143" s="118"/>
      <c r="L143" s="43"/>
      <c r="M143" s="43"/>
      <c r="N143" s="119"/>
      <c r="O143" s="56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51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</row>
    <row r="144" ht="15.75" customHeight="1">
      <c r="A144" s="107" t="s">
        <v>232</v>
      </c>
      <c r="B144" s="72">
        <v>570.0</v>
      </c>
      <c r="C144" s="72">
        <v>5700.0</v>
      </c>
      <c r="D144" s="108" t="s">
        <v>247</v>
      </c>
      <c r="E144" s="108" t="s">
        <v>253</v>
      </c>
      <c r="F144" s="110" t="s">
        <v>133</v>
      </c>
      <c r="G144" s="110" t="s">
        <v>137</v>
      </c>
      <c r="H144" s="110" t="s">
        <v>125</v>
      </c>
      <c r="I144" s="64"/>
      <c r="J144" s="43"/>
      <c r="K144" s="118"/>
      <c r="L144" s="43"/>
      <c r="M144" s="43"/>
      <c r="N144" s="119"/>
      <c r="O144" s="56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51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</row>
    <row r="145" ht="15.75" customHeight="1">
      <c r="A145" s="107" t="s">
        <v>232</v>
      </c>
      <c r="B145" s="72">
        <v>571.0</v>
      </c>
      <c r="C145" s="72">
        <v>5710.0</v>
      </c>
      <c r="D145" s="108" t="s">
        <v>254</v>
      </c>
      <c r="E145" s="108" t="s">
        <v>96</v>
      </c>
      <c r="F145" s="110" t="s">
        <v>255</v>
      </c>
      <c r="G145" s="110" t="s">
        <v>34</v>
      </c>
      <c r="H145" s="110" t="s">
        <v>73</v>
      </c>
      <c r="I145" s="64"/>
      <c r="J145" s="43"/>
      <c r="K145" s="118"/>
      <c r="L145" s="43"/>
      <c r="M145" s="43"/>
      <c r="N145" s="119"/>
      <c r="O145" s="56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51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</row>
    <row r="146" ht="15.75" customHeight="1">
      <c r="A146" s="107" t="s">
        <v>232</v>
      </c>
      <c r="B146" s="72">
        <v>572.0</v>
      </c>
      <c r="C146" s="72">
        <v>5720.0</v>
      </c>
      <c r="D146" s="98" t="s">
        <v>256</v>
      </c>
      <c r="E146" s="108" t="s">
        <v>30</v>
      </c>
      <c r="F146" s="110" t="s">
        <v>159</v>
      </c>
      <c r="G146" s="110" t="s">
        <v>32</v>
      </c>
      <c r="H146" s="110" t="s">
        <v>33</v>
      </c>
      <c r="I146" s="64"/>
      <c r="J146" s="43"/>
      <c r="K146" s="118"/>
      <c r="L146" s="43"/>
      <c r="M146" s="43"/>
      <c r="N146" s="119"/>
      <c r="O146" s="56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51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</row>
    <row r="147" ht="15.75" customHeight="1">
      <c r="A147" s="107" t="s">
        <v>232</v>
      </c>
      <c r="B147" s="72">
        <v>580.0</v>
      </c>
      <c r="C147" s="72">
        <v>5800.0</v>
      </c>
      <c r="D147" s="108" t="s">
        <v>257</v>
      </c>
      <c r="E147" s="108" t="s">
        <v>71</v>
      </c>
      <c r="F147" s="110" t="s">
        <v>66</v>
      </c>
      <c r="G147" s="110" t="s">
        <v>40</v>
      </c>
      <c r="H147" s="110" t="s">
        <v>73</v>
      </c>
      <c r="I147" s="64"/>
      <c r="J147" s="43"/>
      <c r="K147" s="118"/>
      <c r="L147" s="43"/>
      <c r="M147" s="43"/>
      <c r="N147" s="119"/>
      <c r="O147" s="56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51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</row>
    <row r="148" ht="15.75" customHeight="1">
      <c r="A148" s="107" t="s">
        <v>232</v>
      </c>
      <c r="B148" s="72">
        <v>581.0</v>
      </c>
      <c r="C148" s="72">
        <v>5810.0</v>
      </c>
      <c r="D148" s="108" t="s">
        <v>258</v>
      </c>
      <c r="E148" s="108" t="s">
        <v>79</v>
      </c>
      <c r="F148" s="110" t="s">
        <v>259</v>
      </c>
      <c r="G148" s="110" t="s">
        <v>26</v>
      </c>
      <c r="H148" s="110" t="s">
        <v>73</v>
      </c>
      <c r="I148" s="64"/>
      <c r="J148" s="43"/>
      <c r="K148" s="118"/>
      <c r="L148" s="43"/>
      <c r="M148" s="43"/>
      <c r="N148" s="119"/>
      <c r="O148" s="56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51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</row>
    <row r="149" ht="15.75" customHeight="1">
      <c r="A149" s="120" t="s">
        <v>232</v>
      </c>
      <c r="B149" s="110">
        <v>237.0</v>
      </c>
      <c r="C149" s="110">
        <v>2370.0</v>
      </c>
      <c r="D149" s="108" t="s">
        <v>237</v>
      </c>
      <c r="E149" s="108" t="s">
        <v>238</v>
      </c>
      <c r="F149" s="109"/>
      <c r="G149" s="110" t="s">
        <v>156</v>
      </c>
      <c r="H149" s="110" t="s">
        <v>38</v>
      </c>
      <c r="I149" s="121"/>
      <c r="J149" s="122"/>
      <c r="K149" s="123"/>
      <c r="L149" s="124"/>
      <c r="M149" s="124"/>
      <c r="N149" s="125"/>
      <c r="O149" s="56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51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</row>
    <row r="150" ht="15.75" customHeight="1">
      <c r="A150" s="126" t="s">
        <v>260</v>
      </c>
      <c r="B150" s="127">
        <v>215.0</v>
      </c>
      <c r="C150" s="127">
        <v>2140.0</v>
      </c>
      <c r="D150" s="128" t="s">
        <v>247</v>
      </c>
      <c r="E150" s="128" t="s">
        <v>135</v>
      </c>
      <c r="F150" s="129" t="s">
        <v>261</v>
      </c>
      <c r="G150" s="127" t="s">
        <v>137</v>
      </c>
      <c r="H150" s="127" t="s">
        <v>94</v>
      </c>
      <c r="I150" s="35"/>
      <c r="J150" s="130">
        <f>15</f>
        <v>15</v>
      </c>
      <c r="K150" s="131" t="s">
        <v>137</v>
      </c>
      <c r="L150" s="77" t="s">
        <v>28</v>
      </c>
      <c r="M150" s="77">
        <f>J150*'Reference Values'!$C$2</f>
        <v>1.06029E+18</v>
      </c>
      <c r="N150" s="39">
        <f>M150*'Reference Values'!$C$26</f>
        <v>0.005524097982</v>
      </c>
      <c r="O150" s="80">
        <f>N150*'Reference Values'!$D$26</f>
        <v>0.2429378531</v>
      </c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30"/>
    </row>
    <row r="151" ht="15.75" customHeight="1">
      <c r="A151" s="126" t="s">
        <v>260</v>
      </c>
      <c r="B151" s="127">
        <v>216.0</v>
      </c>
      <c r="C151" s="127">
        <v>2150.0</v>
      </c>
      <c r="D151" s="128" t="s">
        <v>130</v>
      </c>
      <c r="E151" s="128" t="s">
        <v>138</v>
      </c>
      <c r="F151" s="129" t="s">
        <v>226</v>
      </c>
      <c r="G151" s="127" t="s">
        <v>54</v>
      </c>
      <c r="H151" s="127" t="s">
        <v>94</v>
      </c>
      <c r="I151" s="45"/>
      <c r="J151" s="26">
        <v>300.0</v>
      </c>
      <c r="K151" s="5" t="s">
        <v>54</v>
      </c>
      <c r="L151" s="77" t="s">
        <v>28</v>
      </c>
      <c r="M151" s="77">
        <f>J151*'Reference Values'!$C$2</f>
        <v>2.12058E+19</v>
      </c>
      <c r="N151" s="49">
        <f>M151*'Reference Values'!$C$27</f>
        <v>0.4092709829</v>
      </c>
      <c r="O151" s="85">
        <f>N151*'Reference Values'!$D$27</f>
        <v>31.02885139</v>
      </c>
      <c r="AE151" s="86"/>
    </row>
    <row r="152" ht="15.75" customHeight="1">
      <c r="A152" s="132" t="s">
        <v>260</v>
      </c>
      <c r="B152" s="133">
        <v>190.0</v>
      </c>
      <c r="C152" s="133">
        <v>1910.0</v>
      </c>
      <c r="D152" s="134" t="s">
        <v>262</v>
      </c>
      <c r="E152" s="134" t="s">
        <v>263</v>
      </c>
      <c r="F152" s="135" t="s">
        <v>139</v>
      </c>
      <c r="G152" s="133" t="s">
        <v>264</v>
      </c>
      <c r="H152" s="133" t="s">
        <v>27</v>
      </c>
      <c r="I152" s="45"/>
      <c r="J152" s="26">
        <f>150+36+40+105</f>
        <v>331</v>
      </c>
      <c r="K152" s="5" t="s">
        <v>264</v>
      </c>
      <c r="L152" s="77" t="s">
        <v>28</v>
      </c>
      <c r="M152" s="77">
        <f>J152*'Reference Values'!$C$2</f>
        <v>2.3397E+19</v>
      </c>
      <c r="N152" s="89">
        <f>M152*'Reference Values'!$C$16</f>
        <v>0.0545150363</v>
      </c>
      <c r="O152" s="85">
        <f>N152*'Reference Values'!$D$16</f>
        <v>0.225198973</v>
      </c>
      <c r="AE152" s="86"/>
    </row>
    <row r="153" ht="15.75" customHeight="1">
      <c r="A153" s="126" t="s">
        <v>260</v>
      </c>
      <c r="B153" s="127">
        <v>191.0</v>
      </c>
      <c r="C153" s="127">
        <v>1920.0</v>
      </c>
      <c r="D153" s="128" t="s">
        <v>88</v>
      </c>
      <c r="E153" s="128" t="s">
        <v>71</v>
      </c>
      <c r="F153" s="129" t="s">
        <v>265</v>
      </c>
      <c r="G153" s="127" t="s">
        <v>40</v>
      </c>
      <c r="H153" s="127" t="s">
        <v>73</v>
      </c>
      <c r="I153" s="45"/>
      <c r="J153" s="26">
        <v>731.0</v>
      </c>
      <c r="K153" s="5" t="s">
        <v>40</v>
      </c>
      <c r="L153" s="77" t="s">
        <v>28</v>
      </c>
      <c r="M153" s="77">
        <f>J153*'Reference Values'!$C$2</f>
        <v>5.16713E+19</v>
      </c>
      <c r="N153" s="49">
        <f>M153*'Reference Values'!$C$20</f>
        <v>0.1100599652</v>
      </c>
      <c r="O153" s="85">
        <f>N153*'Reference Values'!$D$20</f>
        <v>0.2252337442</v>
      </c>
      <c r="AE153" s="86"/>
    </row>
    <row r="154" ht="15.75" customHeight="1">
      <c r="A154" s="126" t="s">
        <v>260</v>
      </c>
      <c r="B154" s="127">
        <v>192.0</v>
      </c>
      <c r="C154" s="127">
        <v>1930.0</v>
      </c>
      <c r="D154" s="128" t="s">
        <v>35</v>
      </c>
      <c r="E154" s="128" t="s">
        <v>36</v>
      </c>
      <c r="F154" s="129" t="s">
        <v>266</v>
      </c>
      <c r="G154" s="127" t="s">
        <v>34</v>
      </c>
      <c r="H154" s="127" t="s">
        <v>38</v>
      </c>
      <c r="I154" s="45"/>
      <c r="J154" s="26">
        <v>0.0</v>
      </c>
      <c r="K154" s="5" t="s">
        <v>34</v>
      </c>
      <c r="L154" s="77"/>
      <c r="M154" s="77">
        <f>J154*'Reference Values'!$C$2</f>
        <v>0</v>
      </c>
      <c r="N154" s="87"/>
      <c r="O154" s="88">
        <f>N154*'Reference Values'!$D$21</f>
        <v>0</v>
      </c>
      <c r="AE154" s="86"/>
    </row>
    <row r="155" ht="15.75" customHeight="1">
      <c r="A155" s="126" t="s">
        <v>260</v>
      </c>
      <c r="B155" s="127">
        <v>194.0</v>
      </c>
      <c r="C155" s="127">
        <v>1950.0</v>
      </c>
      <c r="D155" s="128" t="s">
        <v>267</v>
      </c>
      <c r="E155" s="128" t="s">
        <v>263</v>
      </c>
      <c r="F155" s="129" t="s">
        <v>268</v>
      </c>
      <c r="G155" s="127" t="s">
        <v>264</v>
      </c>
      <c r="H155" s="127" t="s">
        <v>27</v>
      </c>
      <c r="I155" s="45"/>
      <c r="J155" s="26">
        <f>11500</f>
        <v>11500</v>
      </c>
      <c r="K155" s="5" t="s">
        <v>32</v>
      </c>
      <c r="L155" s="77" t="s">
        <v>28</v>
      </c>
      <c r="M155" s="77">
        <f>J155*'Reference Values'!$C$2</f>
        <v>8.12887E+20</v>
      </c>
      <c r="N155" s="89">
        <f>M155*'Reference Values'!$C$17</f>
        <v>0.7852489377</v>
      </c>
      <c r="O155" s="85">
        <f>N155*'Reference Values'!$D$17</f>
        <v>3.298045539</v>
      </c>
      <c r="AE155" s="86"/>
    </row>
    <row r="156" ht="15.75" customHeight="1">
      <c r="A156" s="126" t="s">
        <v>260</v>
      </c>
      <c r="B156" s="127">
        <v>195.0</v>
      </c>
      <c r="C156" s="127">
        <v>1960.0</v>
      </c>
      <c r="D156" s="128" t="s">
        <v>88</v>
      </c>
      <c r="E156" s="128" t="s">
        <v>71</v>
      </c>
      <c r="F156" s="129" t="s">
        <v>142</v>
      </c>
      <c r="G156" s="127" t="s">
        <v>40</v>
      </c>
      <c r="H156" s="127" t="s">
        <v>73</v>
      </c>
      <c r="I156" s="45"/>
      <c r="J156" s="26">
        <f>20</f>
        <v>20</v>
      </c>
      <c r="K156" s="5" t="s">
        <v>269</v>
      </c>
      <c r="L156" s="77" t="s">
        <v>28</v>
      </c>
      <c r="M156" s="77">
        <f>J156*'Reference Values'!$C$2</f>
        <v>1.41372E+18</v>
      </c>
      <c r="N156" s="89">
        <f>M156*'Reference Values'!$C$11</f>
        <v>0.00564072961</v>
      </c>
      <c r="O156" s="85">
        <f>N156*'Reference Values'!$D$11</f>
        <v>0.008363636364</v>
      </c>
      <c r="AE156" s="86"/>
    </row>
    <row r="157" ht="15.75" customHeight="1">
      <c r="A157" s="126" t="s">
        <v>260</v>
      </c>
      <c r="B157" s="127">
        <v>196.0</v>
      </c>
      <c r="C157" s="127">
        <v>1970.0</v>
      </c>
      <c r="D157" s="128" t="s">
        <v>35</v>
      </c>
      <c r="E157" s="128" t="s">
        <v>36</v>
      </c>
      <c r="F157" s="129" t="s">
        <v>270</v>
      </c>
      <c r="G157" s="127" t="s">
        <v>34</v>
      </c>
      <c r="H157" s="127" t="s">
        <v>38</v>
      </c>
      <c r="I157" s="45"/>
      <c r="J157" s="26"/>
      <c r="K157" s="5"/>
      <c r="N157" s="87"/>
      <c r="O157" s="88"/>
      <c r="AE157" s="86"/>
    </row>
    <row r="158" ht="15.75" customHeight="1">
      <c r="A158" s="126" t="s">
        <v>260</v>
      </c>
      <c r="B158" s="127">
        <v>198.0</v>
      </c>
      <c r="C158" s="127">
        <v>1990.0</v>
      </c>
      <c r="D158" s="128" t="s">
        <v>271</v>
      </c>
      <c r="E158" s="128" t="s">
        <v>263</v>
      </c>
      <c r="F158" s="129" t="s">
        <v>272</v>
      </c>
      <c r="G158" s="127" t="s">
        <v>264</v>
      </c>
      <c r="H158" s="127" t="s">
        <v>27</v>
      </c>
      <c r="I158" s="45"/>
      <c r="J158" s="26"/>
      <c r="K158" s="5"/>
      <c r="N158" s="87"/>
      <c r="O158" s="88"/>
      <c r="AE158" s="86"/>
    </row>
    <row r="159" ht="15.75" customHeight="1">
      <c r="A159" s="126" t="s">
        <v>260</v>
      </c>
      <c r="B159" s="127">
        <v>199.0</v>
      </c>
      <c r="C159" s="127">
        <v>2000.0</v>
      </c>
      <c r="D159" s="44" t="s">
        <v>273</v>
      </c>
      <c r="E159" s="128" t="s">
        <v>30</v>
      </c>
      <c r="F159" s="129" t="s">
        <v>31</v>
      </c>
      <c r="G159" s="127" t="s">
        <v>32</v>
      </c>
      <c r="H159" s="127" t="s">
        <v>33</v>
      </c>
      <c r="I159" s="45"/>
      <c r="J159" s="26"/>
      <c r="K159" s="5"/>
      <c r="N159" s="87"/>
      <c r="O159" s="88"/>
      <c r="AE159" s="86"/>
    </row>
    <row r="160" ht="15.75" customHeight="1">
      <c r="A160" s="126" t="s">
        <v>260</v>
      </c>
      <c r="B160" s="127">
        <v>205.0</v>
      </c>
      <c r="C160" s="127">
        <v>2040.0</v>
      </c>
      <c r="D160" s="128" t="s">
        <v>274</v>
      </c>
      <c r="E160" s="128" t="s">
        <v>71</v>
      </c>
      <c r="F160" s="129" t="s">
        <v>93</v>
      </c>
      <c r="G160" s="127" t="s">
        <v>40</v>
      </c>
      <c r="H160" s="127" t="s">
        <v>73</v>
      </c>
      <c r="I160" s="45"/>
      <c r="J160" s="26"/>
      <c r="K160" s="5"/>
      <c r="N160" s="87"/>
      <c r="O160" s="88"/>
      <c r="AE160" s="86"/>
    </row>
    <row r="161" ht="15.75" customHeight="1">
      <c r="A161" s="126" t="s">
        <v>260</v>
      </c>
      <c r="B161" s="127">
        <v>209.0</v>
      </c>
      <c r="C161" s="127">
        <v>2080.0</v>
      </c>
      <c r="D161" s="128" t="s">
        <v>275</v>
      </c>
      <c r="E161" s="128" t="s">
        <v>71</v>
      </c>
      <c r="F161" s="129" t="s">
        <v>255</v>
      </c>
      <c r="G161" s="127" t="s">
        <v>40</v>
      </c>
      <c r="H161" s="127" t="s">
        <v>73</v>
      </c>
      <c r="I161" s="45"/>
      <c r="J161" s="26"/>
      <c r="K161" s="5"/>
      <c r="N161" s="87"/>
      <c r="O161" s="88"/>
      <c r="AE161" s="86"/>
    </row>
    <row r="162" ht="15.75" customHeight="1">
      <c r="A162" s="126" t="s">
        <v>260</v>
      </c>
      <c r="B162" s="127">
        <v>210.0</v>
      </c>
      <c r="C162" s="127">
        <v>2090.0</v>
      </c>
      <c r="D162" s="60" t="s">
        <v>276</v>
      </c>
      <c r="E162" s="129" t="s">
        <v>60</v>
      </c>
      <c r="F162" s="129" t="s">
        <v>116</v>
      </c>
      <c r="G162" s="127" t="s">
        <v>32</v>
      </c>
      <c r="H162" s="127" t="s">
        <v>61</v>
      </c>
      <c r="I162" s="45"/>
      <c r="J162" s="26"/>
      <c r="K162" s="5"/>
      <c r="N162" s="87"/>
      <c r="O162" s="88"/>
      <c r="AE162" s="86"/>
    </row>
    <row r="163" ht="15.75" customHeight="1">
      <c r="A163" s="126" t="s">
        <v>260</v>
      </c>
      <c r="B163" s="127">
        <v>219.0</v>
      </c>
      <c r="C163" s="127">
        <v>2180.0</v>
      </c>
      <c r="D163" s="128" t="s">
        <v>277</v>
      </c>
      <c r="E163" s="128" t="s">
        <v>71</v>
      </c>
      <c r="F163" s="129" t="s">
        <v>142</v>
      </c>
      <c r="G163" s="127" t="s">
        <v>40</v>
      </c>
      <c r="H163" s="127" t="s">
        <v>73</v>
      </c>
      <c r="I163" s="45"/>
      <c r="J163" s="26"/>
      <c r="K163" s="5"/>
      <c r="N163" s="87"/>
      <c r="O163" s="88"/>
      <c r="AE163" s="86"/>
    </row>
    <row r="164" ht="15.75" customHeight="1">
      <c r="A164" s="126" t="s">
        <v>260</v>
      </c>
      <c r="B164" s="127">
        <v>861.0</v>
      </c>
      <c r="C164" s="127">
        <v>3520.0</v>
      </c>
      <c r="D164" s="128" t="s">
        <v>278</v>
      </c>
      <c r="E164" s="128" t="s">
        <v>279</v>
      </c>
      <c r="F164" s="129" t="s">
        <v>133</v>
      </c>
      <c r="G164" s="127" t="s">
        <v>269</v>
      </c>
      <c r="H164" s="127" t="s">
        <v>73</v>
      </c>
      <c r="I164" s="45"/>
      <c r="J164" s="26"/>
      <c r="K164" s="5"/>
      <c r="N164" s="87"/>
      <c r="O164" s="88"/>
      <c r="AE164" s="86"/>
    </row>
    <row r="165" ht="15.75" customHeight="1">
      <c r="A165" s="126" t="s">
        <v>260</v>
      </c>
      <c r="B165" s="127">
        <v>862.0</v>
      </c>
      <c r="C165" s="127">
        <v>3530.0</v>
      </c>
      <c r="D165" s="44" t="s">
        <v>280</v>
      </c>
      <c r="E165" s="128" t="s">
        <v>30</v>
      </c>
      <c r="F165" s="129" t="s">
        <v>281</v>
      </c>
      <c r="G165" s="127" t="s">
        <v>32</v>
      </c>
      <c r="H165" s="127" t="s">
        <v>33</v>
      </c>
      <c r="I165" s="45"/>
      <c r="J165" s="26"/>
      <c r="K165" s="5"/>
      <c r="N165" s="87"/>
      <c r="O165" s="88"/>
      <c r="AE165" s="86"/>
    </row>
    <row r="166" ht="15.75" customHeight="1">
      <c r="A166" s="126" t="s">
        <v>260</v>
      </c>
      <c r="B166" s="127">
        <v>878.0</v>
      </c>
      <c r="C166" s="127">
        <v>3590.0</v>
      </c>
      <c r="D166" s="128" t="s">
        <v>88</v>
      </c>
      <c r="E166" s="128" t="s">
        <v>282</v>
      </c>
      <c r="F166" s="129" t="s">
        <v>25</v>
      </c>
      <c r="G166" s="127" t="s">
        <v>40</v>
      </c>
      <c r="H166" s="127" t="s">
        <v>283</v>
      </c>
      <c r="I166" s="45"/>
      <c r="J166" s="26"/>
      <c r="K166" s="5"/>
      <c r="N166" s="87"/>
      <c r="O166" s="88"/>
      <c r="AE166" s="86"/>
    </row>
    <row r="167" ht="15.75" customHeight="1">
      <c r="A167" s="126" t="s">
        <v>260</v>
      </c>
      <c r="B167" s="127">
        <v>882.0</v>
      </c>
      <c r="C167" s="127">
        <v>3630.0</v>
      </c>
      <c r="D167" s="128" t="s">
        <v>284</v>
      </c>
      <c r="E167" s="128" t="s">
        <v>263</v>
      </c>
      <c r="F167" s="129" t="s">
        <v>285</v>
      </c>
      <c r="G167" s="127" t="s">
        <v>264</v>
      </c>
      <c r="H167" s="127" t="s">
        <v>27</v>
      </c>
      <c r="I167" s="45"/>
      <c r="J167" s="26"/>
      <c r="K167" s="5"/>
      <c r="N167" s="87"/>
      <c r="O167" s="88"/>
      <c r="AE167" s="86"/>
    </row>
    <row r="168" ht="15.75" customHeight="1">
      <c r="A168" s="136" t="s">
        <v>260</v>
      </c>
      <c r="B168" s="127">
        <v>884.0</v>
      </c>
      <c r="C168" s="127">
        <v>3650.0</v>
      </c>
      <c r="D168" s="128" t="s">
        <v>88</v>
      </c>
      <c r="E168" s="128" t="s">
        <v>71</v>
      </c>
      <c r="F168" s="129" t="s">
        <v>139</v>
      </c>
      <c r="G168" s="127" t="s">
        <v>40</v>
      </c>
      <c r="H168" s="127" t="s">
        <v>73</v>
      </c>
      <c r="I168" s="121"/>
      <c r="J168" s="103"/>
      <c r="K168" s="104"/>
      <c r="L168" s="105"/>
      <c r="M168" s="105"/>
      <c r="N168" s="106"/>
      <c r="O168" s="88"/>
      <c r="Q168" s="137" t="s">
        <v>286</v>
      </c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138"/>
    </row>
    <row r="169" ht="15.75" customHeight="1">
      <c r="A169" s="139" t="s">
        <v>287</v>
      </c>
      <c r="B169" s="32">
        <v>325.0</v>
      </c>
      <c r="C169" s="32">
        <v>2190.0</v>
      </c>
      <c r="D169" s="140" t="s">
        <v>288</v>
      </c>
      <c r="E169" s="140" t="s">
        <v>289</v>
      </c>
      <c r="F169" s="141" t="s">
        <v>290</v>
      </c>
      <c r="G169" s="142" t="s">
        <v>291</v>
      </c>
      <c r="H169" s="143" t="s">
        <v>73</v>
      </c>
      <c r="I169" s="144"/>
      <c r="J169" s="36">
        <v>17.0</v>
      </c>
      <c r="K169" s="37" t="s">
        <v>292</v>
      </c>
      <c r="L169" s="38"/>
      <c r="M169" s="38">
        <f>J169*'Reference Values'!$C$2</f>
        <v>1.20166E+18</v>
      </c>
      <c r="N169" s="39">
        <f>M169*'Reference Values'!$C$20</f>
        <v>0.002559534075</v>
      </c>
      <c r="O169" s="40">
        <f>N169*'Reference Values'!$D$20</f>
        <v>0.005237994051</v>
      </c>
      <c r="P169" s="145" t="s">
        <v>293</v>
      </c>
      <c r="Q169" s="146">
        <f t="shared" ref="Q169:Q170" si="2">O169/196</f>
        <v>0.00002672445945</v>
      </c>
      <c r="R169" s="41"/>
      <c r="S169" s="146">
        <f t="shared" ref="S169:AE169" si="1">$Q$169*R2</f>
        <v>0.0009620805401</v>
      </c>
      <c r="T169" s="146">
        <f t="shared" si="1"/>
        <v>0.001603467567</v>
      </c>
      <c r="U169" s="146">
        <f t="shared" si="1"/>
        <v>0.002137956756</v>
      </c>
      <c r="V169" s="146">
        <f t="shared" si="1"/>
        <v>0.00288624162</v>
      </c>
      <c r="W169" s="146">
        <f t="shared" si="1"/>
        <v>0.003955219998</v>
      </c>
      <c r="X169" s="146">
        <f t="shared" si="1"/>
        <v>0.005237994051</v>
      </c>
      <c r="Y169" s="146">
        <f t="shared" si="1"/>
        <v>0.006841461618</v>
      </c>
      <c r="Z169" s="146">
        <f t="shared" si="1"/>
        <v>0.009513907563</v>
      </c>
      <c r="AA169" s="146">
        <f t="shared" si="1"/>
        <v>0.01421741243</v>
      </c>
      <c r="AB169" s="146">
        <f t="shared" si="1"/>
        <v>0.01763814323</v>
      </c>
      <c r="AC169" s="146">
        <f t="shared" si="1"/>
        <v>0.02105887404</v>
      </c>
      <c r="AD169" s="146">
        <f t="shared" si="1"/>
        <v>0.02447960485</v>
      </c>
      <c r="AE169" s="147">
        <f t="shared" si="1"/>
        <v>0.02790033566</v>
      </c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</row>
    <row r="170" ht="15.75" customHeight="1">
      <c r="A170" s="139" t="s">
        <v>287</v>
      </c>
      <c r="B170" s="32">
        <v>326.0</v>
      </c>
      <c r="C170" s="32">
        <v>2200.0</v>
      </c>
      <c r="D170" s="33" t="s">
        <v>294</v>
      </c>
      <c r="E170" s="33" t="s">
        <v>295</v>
      </c>
      <c r="F170" s="34" t="s">
        <v>296</v>
      </c>
      <c r="G170" s="32" t="s">
        <v>297</v>
      </c>
      <c r="H170" s="32" t="s">
        <v>73</v>
      </c>
      <c r="I170" s="45"/>
      <c r="J170" s="43">
        <v>28.0</v>
      </c>
      <c r="K170" s="118" t="s">
        <v>298</v>
      </c>
      <c r="L170" s="43"/>
      <c r="M170" s="38">
        <f>J170*'Reference Values'!$C$2</f>
        <v>1.9792E+18</v>
      </c>
      <c r="N170" s="116">
        <f>M170*'Reference Values'!$C$19</f>
        <v>0.006274074688</v>
      </c>
      <c r="O170" s="50">
        <f>N170*'Reference Values'!$D$19</f>
        <v>0.4051298915</v>
      </c>
      <c r="P170" s="148" t="s">
        <v>299</v>
      </c>
      <c r="Q170" s="149">
        <f t="shared" si="2"/>
        <v>0.002066989242</v>
      </c>
      <c r="R170" s="43"/>
      <c r="S170" s="149">
        <f t="shared" ref="S170:AE170" si="3">$Q$170*R2</f>
        <v>0.07441161272</v>
      </c>
      <c r="T170" s="149">
        <f t="shared" si="3"/>
        <v>0.1240193545</v>
      </c>
      <c r="U170" s="149">
        <f t="shared" si="3"/>
        <v>0.1653591394</v>
      </c>
      <c r="V170" s="149">
        <f t="shared" si="3"/>
        <v>0.2232348382</v>
      </c>
      <c r="W170" s="149">
        <f t="shared" si="3"/>
        <v>0.3059144078</v>
      </c>
      <c r="X170" s="149">
        <f t="shared" si="3"/>
        <v>0.4051298915</v>
      </c>
      <c r="Y170" s="149">
        <f t="shared" si="3"/>
        <v>0.529149246</v>
      </c>
      <c r="Z170" s="149">
        <f t="shared" si="3"/>
        <v>0.7358481702</v>
      </c>
      <c r="AA170" s="149">
        <f t="shared" si="3"/>
        <v>1.099638277</v>
      </c>
      <c r="AB170" s="149">
        <f t="shared" si="3"/>
        <v>1.3642129</v>
      </c>
      <c r="AC170" s="149">
        <f t="shared" si="3"/>
        <v>1.628787523</v>
      </c>
      <c r="AD170" s="149">
        <f t="shared" si="3"/>
        <v>1.893362146</v>
      </c>
      <c r="AE170" s="150">
        <f t="shared" si="3"/>
        <v>2.157936769</v>
      </c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</row>
    <row r="171" ht="15.75" customHeight="1">
      <c r="A171" s="139" t="s">
        <v>287</v>
      </c>
      <c r="B171" s="32">
        <v>327.0</v>
      </c>
      <c r="C171" s="32">
        <v>2210.0</v>
      </c>
      <c r="D171" s="33" t="s">
        <v>300</v>
      </c>
      <c r="E171" s="33" t="s">
        <v>96</v>
      </c>
      <c r="F171" s="34" t="s">
        <v>25</v>
      </c>
      <c r="G171" s="32" t="s">
        <v>34</v>
      </c>
      <c r="H171" s="32" t="s">
        <v>73</v>
      </c>
      <c r="I171" s="45"/>
      <c r="J171" s="46">
        <v>31.0</v>
      </c>
      <c r="K171" s="47" t="s">
        <v>26</v>
      </c>
      <c r="L171" s="48" t="s">
        <v>28</v>
      </c>
      <c r="M171" s="38">
        <f>J171*'Reference Values'!$C$2</f>
        <v>2.19126E+18</v>
      </c>
      <c r="N171" s="116">
        <f>M171*'Reference Values'!$C$19</f>
        <v>0.006946296977</v>
      </c>
      <c r="O171" s="50">
        <f>N171*'Reference Values'!$D$19</f>
        <v>0.4485366656</v>
      </c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51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</row>
    <row r="172" ht="15.75" customHeight="1">
      <c r="A172" s="139" t="s">
        <v>287</v>
      </c>
      <c r="B172" s="32">
        <v>329.0</v>
      </c>
      <c r="C172" s="32">
        <v>2230.0</v>
      </c>
      <c r="D172" s="44" t="s">
        <v>301</v>
      </c>
      <c r="E172" s="33" t="s">
        <v>98</v>
      </c>
      <c r="F172" s="34" t="s">
        <v>302</v>
      </c>
      <c r="G172" s="32" t="s">
        <v>100</v>
      </c>
      <c r="H172" s="32" t="s">
        <v>101</v>
      </c>
      <c r="I172" s="45"/>
      <c r="J172" s="46">
        <v>2000.0</v>
      </c>
      <c r="K172" s="47" t="s">
        <v>297</v>
      </c>
      <c r="L172" s="48" t="s">
        <v>28</v>
      </c>
      <c r="M172" s="38">
        <f>J172*'Reference Values'!$C$2</f>
        <v>1.41372E+20</v>
      </c>
      <c r="N172" s="49">
        <f>M172*'Reference Values'!$C$12</f>
        <v>0.3110176727</v>
      </c>
      <c r="O172" s="50">
        <f>N172*'Reference Values'!$D$12</f>
        <v>4.349999999</v>
      </c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51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</row>
    <row r="173" ht="15.75" customHeight="1">
      <c r="A173" s="151" t="s">
        <v>287</v>
      </c>
      <c r="B173" s="32">
        <v>645.0</v>
      </c>
      <c r="C173" s="32">
        <v>2370.0</v>
      </c>
      <c r="D173" s="33" t="s">
        <v>303</v>
      </c>
      <c r="E173" s="33" t="s">
        <v>79</v>
      </c>
      <c r="F173" s="33" t="s">
        <v>255</v>
      </c>
      <c r="G173" s="32" t="s">
        <v>26</v>
      </c>
      <c r="H173" s="32" t="s">
        <v>73</v>
      </c>
      <c r="I173" s="152"/>
      <c r="J173" s="67">
        <v>100.0</v>
      </c>
      <c r="K173" s="68" t="s">
        <v>32</v>
      </c>
      <c r="L173" s="69" t="s">
        <v>28</v>
      </c>
      <c r="M173" s="153">
        <f>J173*'Reference Values'!$C$2</f>
        <v>7.06858E+18</v>
      </c>
      <c r="N173" s="116">
        <f>M173*'Reference Values'!$C$17</f>
        <v>0.006828251633</v>
      </c>
      <c r="O173" s="50">
        <f>N173*'Reference Values'!$D$17</f>
        <v>0.02867865686</v>
      </c>
      <c r="P173" s="58"/>
      <c r="Q173" s="58" t="s">
        <v>304</v>
      </c>
      <c r="R173" s="43"/>
      <c r="S173" s="149">
        <f>SUM(O171:O173)+SUM(S169:S170)</f>
        <v>4.902589014</v>
      </c>
      <c r="T173" s="149">
        <f t="shared" ref="T173:AE173" si="4">SUM(Q171:Q173)+SUM(T169:T170)</f>
        <v>0.1256228221</v>
      </c>
      <c r="U173" s="149">
        <f t="shared" si="4"/>
        <v>0.1674970961</v>
      </c>
      <c r="V173" s="149">
        <f t="shared" si="4"/>
        <v>5.128710094</v>
      </c>
      <c r="W173" s="149">
        <f t="shared" si="4"/>
        <v>0.4354924499</v>
      </c>
      <c r="X173" s="149">
        <f t="shared" si="4"/>
        <v>0.5778649816</v>
      </c>
      <c r="Y173" s="149">
        <f t="shared" si="4"/>
        <v>5.664700802</v>
      </c>
      <c r="Z173" s="149">
        <f t="shared" si="4"/>
        <v>1.180854528</v>
      </c>
      <c r="AA173" s="149">
        <f t="shared" si="4"/>
        <v>1.691720671</v>
      </c>
      <c r="AB173" s="149">
        <f t="shared" si="4"/>
        <v>7.046551845</v>
      </c>
      <c r="AC173" s="149">
        <f t="shared" si="4"/>
        <v>2.830700925</v>
      </c>
      <c r="AD173" s="149">
        <f t="shared" si="4"/>
        <v>3.609562422</v>
      </c>
      <c r="AE173" s="150">
        <f t="shared" si="4"/>
        <v>9.232388949</v>
      </c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</row>
    <row r="174" ht="15.75" customHeight="1">
      <c r="A174" s="136" t="s">
        <v>305</v>
      </c>
      <c r="B174" s="154">
        <v>551.0</v>
      </c>
      <c r="C174" s="154">
        <v>2320.0</v>
      </c>
      <c r="D174" s="155" t="s">
        <v>247</v>
      </c>
      <c r="E174" s="155" t="s">
        <v>135</v>
      </c>
      <c r="F174" s="156" t="s">
        <v>306</v>
      </c>
      <c r="G174" s="157" t="s">
        <v>137</v>
      </c>
      <c r="H174" s="158" t="s">
        <v>94</v>
      </c>
      <c r="I174" s="159"/>
      <c r="J174" s="160">
        <f>70</f>
        <v>70</v>
      </c>
      <c r="K174" s="161" t="s">
        <v>137</v>
      </c>
      <c r="L174" s="162"/>
      <c r="M174" s="162">
        <f>J174*'Reference Values'!$C$2</f>
        <v>4.94801E+18</v>
      </c>
      <c r="N174" s="163">
        <f>M174*'Reference Values'!$C$26</f>
        <v>0.02577912392</v>
      </c>
      <c r="O174" s="164">
        <f>N174*'Reference Values'!$D$26</f>
        <v>1.133709981</v>
      </c>
      <c r="P174" s="20"/>
      <c r="Q174" s="20" t="s">
        <v>304</v>
      </c>
      <c r="R174" s="165"/>
      <c r="S174" s="166">
        <f t="shared" ref="S174:AE174" si="5">$O$174*R1</f>
        <v>0</v>
      </c>
      <c r="T174" s="166">
        <f t="shared" si="5"/>
        <v>0</v>
      </c>
      <c r="U174" s="166">
        <f t="shared" si="5"/>
        <v>0</v>
      </c>
      <c r="V174" s="166">
        <f t="shared" si="5"/>
        <v>0</v>
      </c>
      <c r="W174" s="166">
        <f t="shared" si="5"/>
        <v>1.133709981</v>
      </c>
      <c r="X174" s="166">
        <f t="shared" si="5"/>
        <v>1.133709981</v>
      </c>
      <c r="Y174" s="166">
        <f t="shared" si="5"/>
        <v>1.133709981</v>
      </c>
      <c r="Z174" s="166">
        <f t="shared" si="5"/>
        <v>2.267419963</v>
      </c>
      <c r="AA174" s="166">
        <f t="shared" si="5"/>
        <v>4.534839925</v>
      </c>
      <c r="AB174" s="166">
        <f t="shared" si="5"/>
        <v>5.668549906</v>
      </c>
      <c r="AC174" s="166">
        <f t="shared" si="5"/>
        <v>6.802259888</v>
      </c>
      <c r="AD174" s="166">
        <f t="shared" si="5"/>
        <v>7.935969869</v>
      </c>
      <c r="AE174" s="167">
        <f t="shared" si="5"/>
        <v>9.06967985</v>
      </c>
    </row>
    <row r="175" ht="15.75" customHeight="1">
      <c r="A175" s="31" t="s">
        <v>307</v>
      </c>
      <c r="B175" s="32">
        <v>831.0</v>
      </c>
      <c r="C175" s="32">
        <v>3270.0</v>
      </c>
      <c r="D175" s="168" t="s">
        <v>88</v>
      </c>
      <c r="E175" s="168" t="s">
        <v>308</v>
      </c>
      <c r="F175" s="169" t="s">
        <v>172</v>
      </c>
      <c r="G175" s="170" t="s">
        <v>40</v>
      </c>
      <c r="H175" s="170" t="s">
        <v>27</v>
      </c>
      <c r="I175" s="35"/>
      <c r="J175" s="36">
        <v>148.0</v>
      </c>
      <c r="K175" s="37" t="s">
        <v>40</v>
      </c>
      <c r="L175" s="38" t="s">
        <v>309</v>
      </c>
      <c r="M175" s="38">
        <f>J175*'Reference Values'!$C$2</f>
        <v>1.04615E+19</v>
      </c>
      <c r="N175" s="39">
        <f>M175*'Reference Values'!$C$20</f>
        <v>0.02228300253</v>
      </c>
      <c r="O175" s="80">
        <f>N175*'Reference Values'!$D$20</f>
        <v>0.04560135998</v>
      </c>
      <c r="P175" s="29"/>
      <c r="Q175" s="171">
        <f>SUM(O175:O178)/196</f>
        <v>0.0008568687715</v>
      </c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30"/>
    </row>
    <row r="176" ht="15.75" customHeight="1">
      <c r="A176" s="31" t="s">
        <v>307</v>
      </c>
      <c r="B176" s="32">
        <v>832.0</v>
      </c>
      <c r="C176" s="32">
        <v>3280.0</v>
      </c>
      <c r="D176" s="168" t="s">
        <v>310</v>
      </c>
      <c r="E176" s="168" t="s">
        <v>24</v>
      </c>
      <c r="F176" s="169" t="s">
        <v>80</v>
      </c>
      <c r="G176" s="170" t="s">
        <v>26</v>
      </c>
      <c r="H176" s="170" t="s">
        <v>27</v>
      </c>
      <c r="I176" s="45"/>
      <c r="J176" s="46">
        <v>6.0</v>
      </c>
      <c r="K176" s="47" t="s">
        <v>26</v>
      </c>
      <c r="L176" s="48" t="s">
        <v>309</v>
      </c>
      <c r="M176" s="38">
        <f>J176*'Reference Values'!$C$2</f>
        <v>4.24115E+17</v>
      </c>
      <c r="N176" s="49">
        <f>M176*'Reference Values'!$C$19</f>
        <v>0.001344444576</v>
      </c>
      <c r="O176" s="85">
        <f>N176*'Reference Values'!$D$19</f>
        <v>0.08681354817</v>
      </c>
      <c r="AE176" s="86"/>
    </row>
    <row r="177" ht="15.75" customHeight="1">
      <c r="A177" s="31" t="s">
        <v>307</v>
      </c>
      <c r="B177" s="32">
        <v>833.0</v>
      </c>
      <c r="C177" s="32">
        <v>3290.0</v>
      </c>
      <c r="D177" s="168" t="s">
        <v>311</v>
      </c>
      <c r="E177" s="168" t="s">
        <v>312</v>
      </c>
      <c r="F177" s="169" t="s">
        <v>205</v>
      </c>
      <c r="G177" s="170" t="s">
        <v>34</v>
      </c>
      <c r="H177" s="170" t="s">
        <v>27</v>
      </c>
      <c r="I177" s="45"/>
      <c r="J177" s="46">
        <f>4</f>
        <v>4</v>
      </c>
      <c r="K177" s="47" t="s">
        <v>34</v>
      </c>
      <c r="L177" s="48" t="s">
        <v>309</v>
      </c>
      <c r="M177" s="38">
        <f>J177*'Reference Values'!$C$2</f>
        <v>2.82743E+17</v>
      </c>
      <c r="N177" s="49">
        <f>M177*'Reference Values'!$C$21</f>
        <v>0.0007945087821</v>
      </c>
      <c r="O177" s="85">
        <f>N177*'Reference Values'!$D$21</f>
        <v>0.03008849558</v>
      </c>
      <c r="P177" s="172" t="s">
        <v>313</v>
      </c>
      <c r="Q177" s="27" t="s">
        <v>314</v>
      </c>
      <c r="S177" s="173">
        <f t="shared" ref="S177:AE177" si="6">$Q$175*R2</f>
        <v>0.03084727577</v>
      </c>
      <c r="T177" s="173">
        <f t="shared" si="6"/>
        <v>0.05141212629</v>
      </c>
      <c r="U177" s="173">
        <f t="shared" si="6"/>
        <v>0.06854950172</v>
      </c>
      <c r="V177" s="173">
        <f t="shared" si="6"/>
        <v>0.09254182732</v>
      </c>
      <c r="W177" s="173">
        <f t="shared" si="6"/>
        <v>0.1268165782</v>
      </c>
      <c r="X177" s="173">
        <f t="shared" si="6"/>
        <v>0.1679462792</v>
      </c>
      <c r="Y177" s="173">
        <f t="shared" si="6"/>
        <v>0.2193584055</v>
      </c>
      <c r="Z177" s="173">
        <f t="shared" si="6"/>
        <v>0.3050452826</v>
      </c>
      <c r="AA177" s="173">
        <f t="shared" si="6"/>
        <v>0.4558541864</v>
      </c>
      <c r="AB177" s="173">
        <f t="shared" si="6"/>
        <v>0.5655333892</v>
      </c>
      <c r="AC177" s="173">
        <f t="shared" si="6"/>
        <v>0.6752125919</v>
      </c>
      <c r="AD177" s="173">
        <f t="shared" si="6"/>
        <v>0.7848917947</v>
      </c>
      <c r="AE177" s="174">
        <f t="shared" si="6"/>
        <v>0.8945709974</v>
      </c>
    </row>
    <row r="178" ht="15.75" customHeight="1">
      <c r="A178" s="31" t="s">
        <v>307</v>
      </c>
      <c r="B178" s="32">
        <v>834.0</v>
      </c>
      <c r="C178" s="32">
        <v>3300.0</v>
      </c>
      <c r="D178" s="168" t="s">
        <v>315</v>
      </c>
      <c r="E178" s="168" t="s">
        <v>263</v>
      </c>
      <c r="F178" s="169" t="s">
        <v>172</v>
      </c>
      <c r="G178" s="170" t="s">
        <v>155</v>
      </c>
      <c r="H178" s="170" t="s">
        <v>27</v>
      </c>
      <c r="I178" s="45"/>
      <c r="J178" s="46">
        <v>8.0</v>
      </c>
      <c r="K178" s="47" t="s">
        <v>155</v>
      </c>
      <c r="L178" s="48" t="s">
        <v>309</v>
      </c>
      <c r="M178" s="38">
        <f>J178*'Reference Values'!$C$2</f>
        <v>5.65487E+17</v>
      </c>
      <c r="N178" s="49">
        <f>M178*'Reference Values'!$C$16</f>
        <v>0.001317583959</v>
      </c>
      <c r="O178" s="85">
        <f>N178*'Reference Values'!$D$16</f>
        <v>0.005442875482</v>
      </c>
      <c r="AE178" s="86"/>
    </row>
    <row r="179" ht="15.75" customHeight="1">
      <c r="A179" s="31" t="s">
        <v>307</v>
      </c>
      <c r="B179" s="32">
        <v>835.0</v>
      </c>
      <c r="C179" s="32">
        <v>3310.0</v>
      </c>
      <c r="D179" s="168" t="s">
        <v>316</v>
      </c>
      <c r="E179" s="168" t="s">
        <v>71</v>
      </c>
      <c r="F179" s="169" t="s">
        <v>306</v>
      </c>
      <c r="G179" s="170" t="s">
        <v>40</v>
      </c>
      <c r="H179" s="170" t="s">
        <v>73</v>
      </c>
      <c r="I179" s="45"/>
      <c r="J179" s="46">
        <v>300.0</v>
      </c>
      <c r="K179" s="47" t="s">
        <v>155</v>
      </c>
      <c r="L179" s="48" t="s">
        <v>309</v>
      </c>
      <c r="M179" s="48">
        <f>J179*'Reference Values'!$C$2</f>
        <v>2.12058E+19</v>
      </c>
      <c r="N179" s="49">
        <f>M179*'Reference Values'!$C$16</f>
        <v>0.04940939846</v>
      </c>
      <c r="O179" s="85">
        <f>N179*'Reference Values'!$D$16</f>
        <v>0.2041078306</v>
      </c>
      <c r="AE179" s="86"/>
    </row>
    <row r="180" ht="15.75" customHeight="1">
      <c r="A180" s="31" t="s">
        <v>307</v>
      </c>
      <c r="B180" s="32">
        <v>840.0</v>
      </c>
      <c r="C180" s="32">
        <v>3360.0</v>
      </c>
      <c r="D180" s="33" t="s">
        <v>317</v>
      </c>
      <c r="E180" s="33" t="s">
        <v>263</v>
      </c>
      <c r="F180" s="34" t="s">
        <v>226</v>
      </c>
      <c r="G180" s="32" t="s">
        <v>264</v>
      </c>
      <c r="H180" s="32" t="s">
        <v>27</v>
      </c>
      <c r="I180" s="45"/>
      <c r="J180" s="46"/>
      <c r="K180" s="47"/>
      <c r="L180" s="48"/>
      <c r="M180" s="48"/>
      <c r="N180" s="55"/>
      <c r="O180" s="85">
        <f>SUM(O175:O179)</f>
        <v>0.3720541098</v>
      </c>
      <c r="P180" s="22"/>
      <c r="Q180" s="22" t="s">
        <v>304</v>
      </c>
      <c r="S180" s="173">
        <f t="shared" ref="S180:AE180" si="7">$O$179+S177</f>
        <v>0.2349551063</v>
      </c>
      <c r="T180" s="173">
        <f t="shared" si="7"/>
        <v>0.2555199568</v>
      </c>
      <c r="U180" s="173">
        <f t="shared" si="7"/>
        <v>0.2726573323</v>
      </c>
      <c r="V180" s="173">
        <f t="shared" si="7"/>
        <v>0.2966496579</v>
      </c>
      <c r="W180" s="173">
        <f t="shared" si="7"/>
        <v>0.3309244087</v>
      </c>
      <c r="X180" s="173">
        <f t="shared" si="7"/>
        <v>0.3720541098</v>
      </c>
      <c r="Y180" s="173">
        <f t="shared" si="7"/>
        <v>0.4234662361</v>
      </c>
      <c r="Z180" s="173">
        <f t="shared" si="7"/>
        <v>0.5091531132</v>
      </c>
      <c r="AA180" s="173">
        <f t="shared" si="7"/>
        <v>0.659962017</v>
      </c>
      <c r="AB180" s="173">
        <f t="shared" si="7"/>
        <v>0.7696412197</v>
      </c>
      <c r="AC180" s="173">
        <f t="shared" si="7"/>
        <v>0.8793204225</v>
      </c>
      <c r="AD180" s="173">
        <f t="shared" si="7"/>
        <v>0.9889996252</v>
      </c>
      <c r="AE180" s="174">
        <f t="shared" si="7"/>
        <v>1.098678828</v>
      </c>
    </row>
    <row r="181" ht="15.75" customHeight="1">
      <c r="A181" s="61" t="s">
        <v>307</v>
      </c>
      <c r="B181" s="32">
        <v>844.0</v>
      </c>
      <c r="C181" s="32">
        <v>3400.0</v>
      </c>
      <c r="D181" s="33" t="s">
        <v>318</v>
      </c>
      <c r="E181" s="33" t="s">
        <v>71</v>
      </c>
      <c r="F181" s="34" t="s">
        <v>306</v>
      </c>
      <c r="G181" s="32" t="s">
        <v>40</v>
      </c>
      <c r="H181" s="32" t="s">
        <v>73</v>
      </c>
      <c r="I181" s="121"/>
      <c r="J181" s="175"/>
      <c r="K181" s="176"/>
      <c r="L181" s="177"/>
      <c r="M181" s="177"/>
      <c r="N181" s="178"/>
      <c r="O181" s="88"/>
      <c r="AE181" s="86"/>
    </row>
    <row r="182" ht="15.75" customHeight="1">
      <c r="A182" s="179" t="s">
        <v>319</v>
      </c>
      <c r="B182" s="127">
        <v>847.0</v>
      </c>
      <c r="C182" s="127">
        <v>3430.0</v>
      </c>
      <c r="D182" s="128" t="s">
        <v>320</v>
      </c>
      <c r="E182" s="128" t="s">
        <v>71</v>
      </c>
      <c r="F182" s="129" t="s">
        <v>25</v>
      </c>
      <c r="G182" s="127" t="s">
        <v>40</v>
      </c>
      <c r="H182" s="127" t="s">
        <v>73</v>
      </c>
      <c r="I182" s="35"/>
      <c r="J182" s="130">
        <v>730.0</v>
      </c>
      <c r="K182" s="131" t="s">
        <v>40</v>
      </c>
      <c r="L182" s="29" t="s">
        <v>28</v>
      </c>
      <c r="M182" s="29">
        <f>J182*'Reference Values'!$C$2</f>
        <v>5.16007E+19</v>
      </c>
      <c r="N182" s="39">
        <f>M182*'Reference Values'!$C$20</f>
        <v>0.1099094044</v>
      </c>
      <c r="O182" s="80">
        <f>N182*'Reference Values'!$D$20</f>
        <v>0.2249256269</v>
      </c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30"/>
    </row>
    <row r="183" ht="15.75" customHeight="1">
      <c r="A183" s="179" t="s">
        <v>319</v>
      </c>
      <c r="B183" s="127">
        <v>848.0</v>
      </c>
      <c r="C183" s="127">
        <v>3440.0</v>
      </c>
      <c r="D183" s="44" t="s">
        <v>321</v>
      </c>
      <c r="E183" s="128" t="s">
        <v>60</v>
      </c>
      <c r="F183" s="129" t="s">
        <v>31</v>
      </c>
      <c r="G183" s="127" t="s">
        <v>32</v>
      </c>
      <c r="H183" s="127" t="s">
        <v>61</v>
      </c>
      <c r="I183" s="45"/>
      <c r="J183" s="26">
        <v>500.0</v>
      </c>
      <c r="K183" s="5" t="s">
        <v>32</v>
      </c>
      <c r="L183" s="27" t="s">
        <v>28</v>
      </c>
      <c r="M183" s="27">
        <f>J183*'Reference Values'!$C$2</f>
        <v>3.53429E+19</v>
      </c>
      <c r="N183" s="89">
        <f>M183*'Reference Values'!$C$17</f>
        <v>0.03414125816</v>
      </c>
      <c r="O183" s="85">
        <f>N183*'Reference Values'!$D$17</f>
        <v>0.1433932843</v>
      </c>
      <c r="AE183" s="86"/>
    </row>
    <row r="184" ht="15.75" customHeight="1">
      <c r="A184" s="180" t="s">
        <v>319</v>
      </c>
      <c r="B184" s="127">
        <v>858.0</v>
      </c>
      <c r="C184" s="127">
        <v>3490.0</v>
      </c>
      <c r="D184" s="128" t="s">
        <v>88</v>
      </c>
      <c r="E184" s="128" t="s">
        <v>71</v>
      </c>
      <c r="F184" s="129" t="s">
        <v>163</v>
      </c>
      <c r="G184" s="127" t="s">
        <v>40</v>
      </c>
      <c r="H184" s="127" t="s">
        <v>73</v>
      </c>
      <c r="I184" s="121"/>
      <c r="J184" s="103"/>
      <c r="K184" s="104"/>
      <c r="L184" s="105"/>
      <c r="N184" s="106"/>
      <c r="O184" s="85">
        <f>SUM(O182:O183)</f>
        <v>0.3683189112</v>
      </c>
      <c r="AE184" s="86"/>
    </row>
    <row r="185" ht="15.75" customHeight="1">
      <c r="A185" s="31" t="s">
        <v>322</v>
      </c>
      <c r="B185" s="32">
        <v>887.0</v>
      </c>
      <c r="C185" s="32">
        <v>3680.0</v>
      </c>
      <c r="D185" s="44" t="s">
        <v>323</v>
      </c>
      <c r="E185" s="33" t="s">
        <v>60</v>
      </c>
      <c r="F185" s="34" t="s">
        <v>281</v>
      </c>
      <c r="G185" s="32" t="s">
        <v>32</v>
      </c>
      <c r="H185" s="32" t="s">
        <v>61</v>
      </c>
      <c r="I185" s="111"/>
      <c r="J185" s="36">
        <v>10000.0</v>
      </c>
      <c r="K185" s="37" t="s">
        <v>32</v>
      </c>
      <c r="L185" s="38" t="s">
        <v>28</v>
      </c>
      <c r="M185" s="38">
        <f>J185*'Reference Values'!$C$2</f>
        <v>7.06858E+20</v>
      </c>
      <c r="N185" s="181">
        <f>M185*'Reference Values'!$C$17</f>
        <v>0.6828251633</v>
      </c>
      <c r="O185" s="80">
        <f>N185*'Reference Values'!$D$17</f>
        <v>2.867865686</v>
      </c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30"/>
    </row>
    <row r="186" ht="15.75" customHeight="1">
      <c r="A186" s="31" t="s">
        <v>322</v>
      </c>
      <c r="B186" s="32">
        <v>904.0</v>
      </c>
      <c r="C186" s="32">
        <v>3750.0</v>
      </c>
      <c r="D186" s="168" t="s">
        <v>324</v>
      </c>
      <c r="E186" s="168" t="s">
        <v>325</v>
      </c>
      <c r="F186" s="169" t="s">
        <v>326</v>
      </c>
      <c r="G186" s="170" t="s">
        <v>269</v>
      </c>
      <c r="H186" s="170" t="s">
        <v>283</v>
      </c>
      <c r="I186" s="45"/>
      <c r="J186" s="46">
        <v>2.0</v>
      </c>
      <c r="K186" s="47" t="s">
        <v>269</v>
      </c>
      <c r="L186" s="48" t="s">
        <v>28</v>
      </c>
      <c r="M186" s="38">
        <f>J186*'Reference Values'!$C$2</f>
        <v>1.41372E+17</v>
      </c>
      <c r="N186" s="49">
        <f>M186*'Reference Values'!$C$11</f>
        <v>0.000564072961</v>
      </c>
      <c r="O186" s="85">
        <f>N186*'Reference Values'!$D$11</f>
        <v>0.0008363636364</v>
      </c>
      <c r="Q186" s="173">
        <f>SUM(O186:O188)/196</f>
        <v>0.01076487805</v>
      </c>
      <c r="AE186" s="86"/>
    </row>
    <row r="187" ht="15.75" customHeight="1">
      <c r="A187" s="31" t="s">
        <v>322</v>
      </c>
      <c r="B187" s="32">
        <v>906.0</v>
      </c>
      <c r="C187" s="32">
        <v>3770.0</v>
      </c>
      <c r="D187" s="168" t="s">
        <v>247</v>
      </c>
      <c r="E187" s="168" t="s">
        <v>327</v>
      </c>
      <c r="F187" s="169" t="s">
        <v>328</v>
      </c>
      <c r="G187" s="170" t="s">
        <v>137</v>
      </c>
      <c r="H187" s="170" t="s">
        <v>283</v>
      </c>
      <c r="I187" s="45"/>
      <c r="J187" s="46">
        <v>2.5</v>
      </c>
      <c r="K187" s="47" t="s">
        <v>137</v>
      </c>
      <c r="L187" s="48" t="s">
        <v>28</v>
      </c>
      <c r="M187" s="38">
        <f>J187*'Reference Values'!$C$2</f>
        <v>1.76715E+17</v>
      </c>
      <c r="N187" s="49">
        <f>M187*'Reference Values'!$C$26</f>
        <v>0.000920682997</v>
      </c>
      <c r="O187" s="85">
        <f>N187*'Reference Values'!$D$26</f>
        <v>0.04048964219</v>
      </c>
      <c r="AE187" s="86"/>
    </row>
    <row r="188" ht="15.75" customHeight="1">
      <c r="A188" s="31" t="s">
        <v>322</v>
      </c>
      <c r="B188" s="32">
        <v>907.0</v>
      </c>
      <c r="C188" s="32">
        <v>3780.0</v>
      </c>
      <c r="D188" s="168" t="s">
        <v>130</v>
      </c>
      <c r="E188" s="168" t="s">
        <v>138</v>
      </c>
      <c r="F188" s="169" t="s">
        <v>133</v>
      </c>
      <c r="G188" s="170" t="s">
        <v>54</v>
      </c>
      <c r="H188" s="170" t="s">
        <v>329</v>
      </c>
      <c r="I188" s="45"/>
      <c r="J188" s="46">
        <v>20.0</v>
      </c>
      <c r="K188" s="47" t="s">
        <v>54</v>
      </c>
      <c r="L188" s="48" t="s">
        <v>28</v>
      </c>
      <c r="M188" s="38">
        <f>J188*'Reference Values'!$C$2</f>
        <v>1.41372E+18</v>
      </c>
      <c r="N188" s="49">
        <f>M188*'Reference Values'!$C$27</f>
        <v>0.0272847322</v>
      </c>
      <c r="O188" s="85">
        <f>N188*'Reference Values'!$D$27</f>
        <v>2.068590093</v>
      </c>
      <c r="P188" s="172" t="s">
        <v>330</v>
      </c>
      <c r="Q188" s="27" t="s">
        <v>331</v>
      </c>
      <c r="S188" s="173">
        <f t="shared" ref="S188:AE188" si="8">$Q$186*R2</f>
        <v>0.3875356099</v>
      </c>
      <c r="T188" s="173">
        <f t="shared" si="8"/>
        <v>0.6458926832</v>
      </c>
      <c r="U188" s="173">
        <f t="shared" si="8"/>
        <v>0.8611902443</v>
      </c>
      <c r="V188" s="173">
        <f t="shared" si="8"/>
        <v>1.16260683</v>
      </c>
      <c r="W188" s="173">
        <f t="shared" si="8"/>
        <v>1.593201952</v>
      </c>
      <c r="X188" s="173">
        <f t="shared" si="8"/>
        <v>2.109916098</v>
      </c>
      <c r="Y188" s="173">
        <f t="shared" si="8"/>
        <v>2.755808782</v>
      </c>
      <c r="Z188" s="173">
        <f t="shared" si="8"/>
        <v>3.832296587</v>
      </c>
      <c r="AA188" s="173">
        <f t="shared" si="8"/>
        <v>5.726915124</v>
      </c>
      <c r="AB188" s="173">
        <f t="shared" si="8"/>
        <v>7.104819515</v>
      </c>
      <c r="AC188" s="173">
        <f t="shared" si="8"/>
        <v>8.482723906</v>
      </c>
      <c r="AD188" s="173">
        <f t="shared" si="8"/>
        <v>9.860628297</v>
      </c>
      <c r="AE188" s="174">
        <f t="shared" si="8"/>
        <v>11.23853269</v>
      </c>
    </row>
    <row r="189" ht="15.75" customHeight="1">
      <c r="A189" s="31" t="s">
        <v>322</v>
      </c>
      <c r="B189" s="32">
        <v>909.0</v>
      </c>
      <c r="C189" s="32">
        <v>3800.0</v>
      </c>
      <c r="D189" s="33" t="s">
        <v>332</v>
      </c>
      <c r="E189" s="33" t="s">
        <v>282</v>
      </c>
      <c r="F189" s="34" t="s">
        <v>110</v>
      </c>
      <c r="G189" s="32" t="s">
        <v>40</v>
      </c>
      <c r="H189" s="32" t="s">
        <v>283</v>
      </c>
      <c r="I189" s="45"/>
      <c r="J189" s="46">
        <v>45.0</v>
      </c>
      <c r="K189" s="47" t="s">
        <v>40</v>
      </c>
      <c r="L189" s="48" t="s">
        <v>28</v>
      </c>
      <c r="M189" s="38">
        <f>J189*'Reference Values'!$C$2</f>
        <v>3.18086E+18</v>
      </c>
      <c r="N189" s="49">
        <f>M189*'Reference Values'!$C$20</f>
        <v>0.006775237257</v>
      </c>
      <c r="O189" s="85">
        <f>N189*'Reference Values'!$D$20</f>
        <v>0.01386527837</v>
      </c>
      <c r="AE189" s="86"/>
    </row>
    <row r="190" ht="15.75" customHeight="1">
      <c r="A190" s="61" t="s">
        <v>322</v>
      </c>
      <c r="B190" s="32">
        <v>913.0</v>
      </c>
      <c r="C190" s="32">
        <v>3840.0</v>
      </c>
      <c r="D190" s="33" t="s">
        <v>333</v>
      </c>
      <c r="E190" s="33" t="s">
        <v>263</v>
      </c>
      <c r="F190" s="34" t="s">
        <v>334</v>
      </c>
      <c r="G190" s="32" t="s">
        <v>264</v>
      </c>
      <c r="H190" s="32" t="s">
        <v>27</v>
      </c>
      <c r="I190" s="121"/>
      <c r="J190" s="175">
        <v>140.0</v>
      </c>
      <c r="K190" s="176" t="s">
        <v>155</v>
      </c>
      <c r="L190" s="69" t="s">
        <v>28</v>
      </c>
      <c r="M190" s="153">
        <f>J190*'Reference Values'!$C$2</f>
        <v>9.89602E+18</v>
      </c>
      <c r="N190" s="182">
        <f>M190*'Reference Values'!$C$16</f>
        <v>0.02305771928</v>
      </c>
      <c r="O190" s="85">
        <f>N190*'Reference Values'!$D$16</f>
        <v>0.09525032093</v>
      </c>
      <c r="P190" s="22"/>
      <c r="Q190" s="22" t="s">
        <v>304</v>
      </c>
      <c r="S190" s="173">
        <f t="shared" ref="S190:AE190" si="9">$O$185+$O$189+$O$190+S188</f>
        <v>3.364516895</v>
      </c>
      <c r="T190" s="173">
        <f t="shared" si="9"/>
        <v>3.622873968</v>
      </c>
      <c r="U190" s="173">
        <f t="shared" si="9"/>
        <v>3.838171529</v>
      </c>
      <c r="V190" s="173">
        <f t="shared" si="9"/>
        <v>4.139588115</v>
      </c>
      <c r="W190" s="173">
        <f t="shared" si="9"/>
        <v>4.570183237</v>
      </c>
      <c r="X190" s="173">
        <f t="shared" si="9"/>
        <v>5.086897383</v>
      </c>
      <c r="Y190" s="173">
        <f t="shared" si="9"/>
        <v>5.732790067</v>
      </c>
      <c r="Z190" s="173">
        <f t="shared" si="9"/>
        <v>6.809277872</v>
      </c>
      <c r="AA190" s="173">
        <f t="shared" si="9"/>
        <v>8.703896409</v>
      </c>
      <c r="AB190" s="173">
        <f t="shared" si="9"/>
        <v>10.0818008</v>
      </c>
      <c r="AC190" s="173">
        <f t="shared" si="9"/>
        <v>11.45970519</v>
      </c>
      <c r="AD190" s="173">
        <f t="shared" si="9"/>
        <v>12.83760958</v>
      </c>
      <c r="AE190" s="174">
        <f t="shared" si="9"/>
        <v>14.21551397</v>
      </c>
    </row>
    <row r="191" ht="15.75" customHeight="1">
      <c r="A191" s="71" t="s">
        <v>335</v>
      </c>
      <c r="B191" s="127">
        <v>916.0</v>
      </c>
      <c r="C191" s="127">
        <v>3870.0</v>
      </c>
      <c r="D191" s="44" t="s">
        <v>336</v>
      </c>
      <c r="E191" s="128" t="s">
        <v>30</v>
      </c>
      <c r="F191" s="129" t="s">
        <v>337</v>
      </c>
      <c r="G191" s="127" t="s">
        <v>32</v>
      </c>
      <c r="H191" s="127" t="s">
        <v>33</v>
      </c>
      <c r="I191" s="35"/>
      <c r="J191" s="130">
        <v>20000.0</v>
      </c>
      <c r="K191" s="131" t="s">
        <v>32</v>
      </c>
      <c r="L191" s="29" t="s">
        <v>28</v>
      </c>
      <c r="M191" s="38">
        <f>J191*'Reference Values'!$C$2</f>
        <v>1.41372E+21</v>
      </c>
      <c r="N191" s="181">
        <f>M191*'Reference Values'!$C$17</f>
        <v>1.365650327</v>
      </c>
      <c r="O191" s="80">
        <f>N191*'Reference Values'!$D$17</f>
        <v>5.735731371</v>
      </c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30"/>
    </row>
    <row r="192" ht="15.75" customHeight="1">
      <c r="A192" s="71" t="s">
        <v>335</v>
      </c>
      <c r="B192" s="127">
        <v>930.0</v>
      </c>
      <c r="C192" s="127">
        <v>3903.0</v>
      </c>
      <c r="D192" s="128" t="s">
        <v>332</v>
      </c>
      <c r="E192" s="128" t="s">
        <v>282</v>
      </c>
      <c r="F192" s="129" t="s">
        <v>133</v>
      </c>
      <c r="G192" s="127" t="s">
        <v>40</v>
      </c>
      <c r="H192" s="127" t="s">
        <v>283</v>
      </c>
      <c r="I192" s="45"/>
      <c r="J192" s="26">
        <v>65.0</v>
      </c>
      <c r="K192" s="5" t="s">
        <v>40</v>
      </c>
      <c r="L192" s="27" t="s">
        <v>28</v>
      </c>
      <c r="M192" s="38">
        <f>J192*'Reference Values'!$C$2</f>
        <v>4.59458E+18</v>
      </c>
      <c r="N192" s="49">
        <f>M192*'Reference Values'!$C$20</f>
        <v>0.009786453815</v>
      </c>
      <c r="O192" s="85">
        <f>N192*'Reference Values'!$D$20</f>
        <v>0.02002762431</v>
      </c>
      <c r="AE192" s="86"/>
    </row>
    <row r="193" ht="15.75" customHeight="1">
      <c r="A193" s="71" t="s">
        <v>335</v>
      </c>
      <c r="B193" s="127">
        <v>936.0</v>
      </c>
      <c r="C193" s="127">
        <v>3950.0</v>
      </c>
      <c r="D193" s="128" t="s">
        <v>338</v>
      </c>
      <c r="E193" s="128" t="s">
        <v>79</v>
      </c>
      <c r="F193" s="129" t="s">
        <v>339</v>
      </c>
      <c r="G193" s="127" t="s">
        <v>26</v>
      </c>
      <c r="H193" s="127" t="s">
        <v>73</v>
      </c>
      <c r="I193" s="45"/>
      <c r="J193" s="26">
        <v>27.0</v>
      </c>
      <c r="K193" s="5" t="s">
        <v>26</v>
      </c>
      <c r="L193" s="27" t="s">
        <v>28</v>
      </c>
      <c r="M193" s="38">
        <f>J193*'Reference Values'!$C$2</f>
        <v>1.90852E+18</v>
      </c>
      <c r="N193" s="89">
        <f>M193*'Reference Values'!$C$19</f>
        <v>0.006050000592</v>
      </c>
      <c r="O193" s="85">
        <f>N193*'Reference Values'!$D$19</f>
        <v>0.3906609668</v>
      </c>
      <c r="Q193" s="173">
        <f>SUM(O194:O195)/196</f>
        <v>0.2655034156</v>
      </c>
      <c r="AE193" s="86"/>
    </row>
    <row r="194" ht="15.75" customHeight="1">
      <c r="A194" s="71" t="s">
        <v>335</v>
      </c>
      <c r="B194" s="127">
        <v>937.0</v>
      </c>
      <c r="C194" s="127">
        <v>3960.0</v>
      </c>
      <c r="D194" s="128" t="s">
        <v>340</v>
      </c>
      <c r="E194" s="128" t="s">
        <v>71</v>
      </c>
      <c r="F194" s="129" t="s">
        <v>110</v>
      </c>
      <c r="G194" s="127" t="s">
        <v>40</v>
      </c>
      <c r="H194" s="127" t="s">
        <v>73</v>
      </c>
      <c r="I194" s="45"/>
      <c r="J194" s="26">
        <v>500.0</v>
      </c>
      <c r="K194" s="5" t="s">
        <v>54</v>
      </c>
      <c r="L194" s="27" t="s">
        <v>28</v>
      </c>
      <c r="M194" s="38">
        <f>J194*'Reference Values'!$C$2</f>
        <v>3.53429E+19</v>
      </c>
      <c r="N194" s="49">
        <f>M194*'Reference Values'!$C$27</f>
        <v>0.6821183049</v>
      </c>
      <c r="O194" s="85">
        <f>N194*'Reference Values'!$D$27</f>
        <v>51.71475232</v>
      </c>
      <c r="P194" s="172" t="s">
        <v>341</v>
      </c>
      <c r="Q194" s="27" t="s">
        <v>342</v>
      </c>
      <c r="S194" s="173">
        <f t="shared" ref="S194:AE194" si="10">$Q$193*R2</f>
        <v>9.558122961</v>
      </c>
      <c r="T194" s="173">
        <f t="shared" si="10"/>
        <v>15.93020493</v>
      </c>
      <c r="U194" s="173">
        <f t="shared" si="10"/>
        <v>21.24027325</v>
      </c>
      <c r="V194" s="173">
        <f t="shared" si="10"/>
        <v>28.67436888</v>
      </c>
      <c r="W194" s="173">
        <f t="shared" si="10"/>
        <v>39.29450551</v>
      </c>
      <c r="X194" s="173">
        <f t="shared" si="10"/>
        <v>52.03866945</v>
      </c>
      <c r="Y194" s="173">
        <f t="shared" si="10"/>
        <v>67.96887439</v>
      </c>
      <c r="Z194" s="173">
        <f t="shared" si="10"/>
        <v>94.51921595</v>
      </c>
      <c r="AA194" s="173">
        <f t="shared" si="10"/>
        <v>141.2478171</v>
      </c>
      <c r="AB194" s="173">
        <f t="shared" si="10"/>
        <v>175.2322543</v>
      </c>
      <c r="AC194" s="173">
        <f t="shared" si="10"/>
        <v>209.2166915</v>
      </c>
      <c r="AD194" s="173">
        <f t="shared" si="10"/>
        <v>243.2011287</v>
      </c>
      <c r="AE194" s="174">
        <f t="shared" si="10"/>
        <v>277.1855659</v>
      </c>
    </row>
    <row r="195" ht="15.75" customHeight="1">
      <c r="A195" s="183" t="s">
        <v>335</v>
      </c>
      <c r="B195" s="127">
        <v>938.0</v>
      </c>
      <c r="C195" s="127">
        <v>3970.0</v>
      </c>
      <c r="D195" s="44" t="s">
        <v>343</v>
      </c>
      <c r="E195" s="128" t="s">
        <v>30</v>
      </c>
      <c r="F195" s="129" t="s">
        <v>344</v>
      </c>
      <c r="G195" s="127" t="s">
        <v>32</v>
      </c>
      <c r="H195" s="184" t="s">
        <v>33</v>
      </c>
      <c r="I195" s="99"/>
      <c r="J195" s="26">
        <v>20.0</v>
      </c>
      <c r="K195" s="5" t="s">
        <v>137</v>
      </c>
      <c r="L195" s="27" t="s">
        <v>28</v>
      </c>
      <c r="M195" s="38">
        <f>J195*'Reference Values'!$C$2</f>
        <v>1.41372E+18</v>
      </c>
      <c r="N195" s="49">
        <f>M195*'Reference Values'!$C$26</f>
        <v>0.007365463976</v>
      </c>
      <c r="O195" s="85">
        <f>N195*'Reference Values'!$D$26</f>
        <v>0.3239171375</v>
      </c>
      <c r="AE195" s="86"/>
    </row>
    <row r="196" ht="15.75" customHeight="1">
      <c r="A196" s="71" t="s">
        <v>335</v>
      </c>
      <c r="B196" s="127">
        <v>932.0</v>
      </c>
      <c r="C196" s="127">
        <v>3910.0</v>
      </c>
      <c r="D196" s="185" t="s">
        <v>134</v>
      </c>
      <c r="E196" s="185" t="s">
        <v>345</v>
      </c>
      <c r="F196" s="186" t="s">
        <v>136</v>
      </c>
      <c r="G196" s="187" t="s">
        <v>137</v>
      </c>
      <c r="H196" s="187" t="s">
        <v>346</v>
      </c>
      <c r="I196" s="45"/>
      <c r="J196" s="26"/>
      <c r="K196" s="5"/>
      <c r="N196" s="87"/>
      <c r="O196" s="88"/>
      <c r="Q196" s="173">
        <f>SUM(O194:O195)</f>
        <v>52.03866945</v>
      </c>
      <c r="AE196" s="86"/>
    </row>
    <row r="197" ht="15.75" customHeight="1">
      <c r="A197" s="71" t="s">
        <v>335</v>
      </c>
      <c r="B197" s="127">
        <v>933.0</v>
      </c>
      <c r="C197" s="127">
        <v>3920.0</v>
      </c>
      <c r="D197" s="185" t="s">
        <v>130</v>
      </c>
      <c r="E197" s="185" t="s">
        <v>138</v>
      </c>
      <c r="F197" s="186" t="s">
        <v>196</v>
      </c>
      <c r="G197" s="187" t="s">
        <v>54</v>
      </c>
      <c r="H197" s="187" t="s">
        <v>94</v>
      </c>
      <c r="I197" s="45"/>
      <c r="J197" s="26"/>
      <c r="K197" s="5"/>
      <c r="N197" s="87"/>
      <c r="O197" s="88"/>
      <c r="P197" s="22"/>
      <c r="Q197" s="22" t="s">
        <v>304</v>
      </c>
      <c r="S197" s="173">
        <f t="shared" ref="S197:AE197" si="11">S194+$Q$196</f>
        <v>61.59679241</v>
      </c>
      <c r="T197" s="173">
        <f t="shared" si="11"/>
        <v>67.96887439</v>
      </c>
      <c r="U197" s="173">
        <f t="shared" si="11"/>
        <v>73.2789427</v>
      </c>
      <c r="V197" s="173">
        <f t="shared" si="11"/>
        <v>80.71303834</v>
      </c>
      <c r="W197" s="173">
        <f t="shared" si="11"/>
        <v>91.33317496</v>
      </c>
      <c r="X197" s="173">
        <f t="shared" si="11"/>
        <v>104.0773389</v>
      </c>
      <c r="Y197" s="173">
        <f t="shared" si="11"/>
        <v>120.0075438</v>
      </c>
      <c r="Z197" s="173">
        <f t="shared" si="11"/>
        <v>146.5578854</v>
      </c>
      <c r="AA197" s="173">
        <f t="shared" si="11"/>
        <v>193.2864865</v>
      </c>
      <c r="AB197" s="173">
        <f t="shared" si="11"/>
        <v>227.2709237</v>
      </c>
      <c r="AC197" s="173">
        <f t="shared" si="11"/>
        <v>261.2553609</v>
      </c>
      <c r="AD197" s="173">
        <f t="shared" si="11"/>
        <v>295.2397981</v>
      </c>
      <c r="AE197" s="174">
        <f t="shared" si="11"/>
        <v>329.2242353</v>
      </c>
    </row>
    <row r="198" ht="15.75" customHeight="1">
      <c r="A198" s="71" t="s">
        <v>335</v>
      </c>
      <c r="B198" s="127">
        <v>954.0</v>
      </c>
      <c r="C198" s="127">
        <v>4030.0</v>
      </c>
      <c r="D198" s="185" t="s">
        <v>134</v>
      </c>
      <c r="E198" s="185" t="s">
        <v>345</v>
      </c>
      <c r="F198" s="186" t="s">
        <v>136</v>
      </c>
      <c r="G198" s="187" t="s">
        <v>137</v>
      </c>
      <c r="H198" s="187" t="s">
        <v>346</v>
      </c>
      <c r="I198" s="45"/>
      <c r="J198" s="26"/>
      <c r="K198" s="5"/>
      <c r="N198" s="87"/>
      <c r="O198" s="88"/>
      <c r="AE198" s="86"/>
    </row>
    <row r="199" ht="15.75" customHeight="1">
      <c r="A199" s="71" t="s">
        <v>335</v>
      </c>
      <c r="B199" s="127">
        <v>955.0</v>
      </c>
      <c r="C199" s="127">
        <v>4040.0</v>
      </c>
      <c r="D199" s="185" t="s">
        <v>130</v>
      </c>
      <c r="E199" s="185" t="s">
        <v>138</v>
      </c>
      <c r="F199" s="186" t="s">
        <v>196</v>
      </c>
      <c r="G199" s="187" t="s">
        <v>54</v>
      </c>
      <c r="H199" s="187" t="s">
        <v>94</v>
      </c>
      <c r="I199" s="152"/>
      <c r="J199" s="26"/>
      <c r="K199" s="5"/>
      <c r="N199" s="87"/>
      <c r="O199" s="88"/>
      <c r="AE199" s="86"/>
    </row>
    <row r="200" ht="15.75" customHeight="1">
      <c r="A200" s="31" t="s">
        <v>347</v>
      </c>
      <c r="B200" s="32">
        <v>958.0</v>
      </c>
      <c r="C200" s="32">
        <v>4070.0</v>
      </c>
      <c r="D200" s="128" t="s">
        <v>300</v>
      </c>
      <c r="E200" s="33" t="s">
        <v>96</v>
      </c>
      <c r="F200" s="34" t="s">
        <v>25</v>
      </c>
      <c r="G200" s="32" t="s">
        <v>34</v>
      </c>
      <c r="H200" s="32" t="s">
        <v>73</v>
      </c>
      <c r="I200" s="188"/>
      <c r="J200" s="36">
        <v>120.0</v>
      </c>
      <c r="K200" s="37" t="s">
        <v>34</v>
      </c>
      <c r="L200" s="38" t="s">
        <v>28</v>
      </c>
      <c r="M200" s="38">
        <f>J200*'Reference Values'!$C$2</f>
        <v>8.4823E+18</v>
      </c>
      <c r="N200" s="39">
        <f>M200*'Reference Values'!$C$21</f>
        <v>0.02383526346</v>
      </c>
      <c r="O200" s="80">
        <f>N200*'Reference Values'!$D$21</f>
        <v>0.9026548673</v>
      </c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30"/>
    </row>
    <row r="201" ht="15.75" customHeight="1">
      <c r="A201" s="31" t="s">
        <v>347</v>
      </c>
      <c r="B201" s="32">
        <v>960.0</v>
      </c>
      <c r="C201" s="32">
        <v>4090.0</v>
      </c>
      <c r="D201" s="44" t="s">
        <v>348</v>
      </c>
      <c r="E201" s="33" t="s">
        <v>98</v>
      </c>
      <c r="F201" s="34" t="s">
        <v>302</v>
      </c>
      <c r="G201" s="32" t="s">
        <v>100</v>
      </c>
      <c r="H201" s="32" t="s">
        <v>101</v>
      </c>
      <c r="I201" s="45"/>
      <c r="J201" s="46">
        <v>4900.0</v>
      </c>
      <c r="K201" s="47" t="s">
        <v>32</v>
      </c>
      <c r="L201" s="48" t="s">
        <v>28</v>
      </c>
      <c r="M201" s="38">
        <f>J201*'Reference Values'!$C$2</f>
        <v>3.46361E+20</v>
      </c>
      <c r="N201" s="89">
        <f>M201*'Reference Values'!$C$17</f>
        <v>0.33458433</v>
      </c>
      <c r="O201" s="85">
        <f>N201*'Reference Values'!$D$17</f>
        <v>1.405254186</v>
      </c>
      <c r="AE201" s="86"/>
    </row>
    <row r="202" ht="15.75" customHeight="1">
      <c r="A202" s="31" t="s">
        <v>347</v>
      </c>
      <c r="B202" s="32">
        <v>970.0</v>
      </c>
      <c r="C202" s="32">
        <v>4180.0</v>
      </c>
      <c r="D202" s="33" t="s">
        <v>349</v>
      </c>
      <c r="E202" s="33" t="s">
        <v>71</v>
      </c>
      <c r="F202" s="34" t="s">
        <v>350</v>
      </c>
      <c r="G202" s="32" t="s">
        <v>40</v>
      </c>
      <c r="H202" s="32" t="s">
        <v>73</v>
      </c>
      <c r="I202" s="45"/>
      <c r="J202" s="46">
        <v>340.0</v>
      </c>
      <c r="K202" s="47" t="s">
        <v>26</v>
      </c>
      <c r="L202" s="48" t="s">
        <v>28</v>
      </c>
      <c r="M202" s="38">
        <f>J202*'Reference Values'!$C$2</f>
        <v>2.40332E+19</v>
      </c>
      <c r="N202" s="49">
        <f>M202*'Reference Values'!$C$19</f>
        <v>0.07618519265</v>
      </c>
      <c r="O202" s="85">
        <f>N202*'Reference Values'!$D$19</f>
        <v>4.919434396</v>
      </c>
      <c r="AE202" s="86"/>
    </row>
    <row r="203" ht="15.75" customHeight="1">
      <c r="A203" s="31" t="s">
        <v>347</v>
      </c>
      <c r="B203" s="32">
        <v>971.0</v>
      </c>
      <c r="C203" s="32">
        <v>4190.0</v>
      </c>
      <c r="D203" s="33" t="s">
        <v>351</v>
      </c>
      <c r="E203" s="33" t="s">
        <v>79</v>
      </c>
      <c r="F203" s="34" t="s">
        <v>352</v>
      </c>
      <c r="G203" s="32" t="s">
        <v>26</v>
      </c>
      <c r="H203" s="32" t="s">
        <v>73</v>
      </c>
      <c r="I203" s="45"/>
      <c r="J203" s="46">
        <v>250.0</v>
      </c>
      <c r="K203" s="47" t="s">
        <v>45</v>
      </c>
      <c r="L203" s="48" t="s">
        <v>28</v>
      </c>
      <c r="M203" s="38">
        <f>J203*'Reference Values'!$C$2</f>
        <v>1.76715E+19</v>
      </c>
      <c r="N203" s="49">
        <f>M203*'Reference Values'!$C$8</f>
        <v>0.03534291735</v>
      </c>
      <c r="O203" s="85">
        <f>N203*'Reference Values'!$D$8</f>
        <v>8.999999998</v>
      </c>
      <c r="AE203" s="86"/>
    </row>
    <row r="204" ht="15.75" customHeight="1">
      <c r="A204" s="31" t="s">
        <v>347</v>
      </c>
      <c r="B204" s="32">
        <v>972.0</v>
      </c>
      <c r="C204" s="32">
        <v>4200.0</v>
      </c>
      <c r="D204" s="33" t="s">
        <v>300</v>
      </c>
      <c r="E204" s="33" t="s">
        <v>96</v>
      </c>
      <c r="F204" s="34" t="s">
        <v>25</v>
      </c>
      <c r="G204" s="32" t="s">
        <v>34</v>
      </c>
      <c r="H204" s="32" t="s">
        <v>73</v>
      </c>
      <c r="I204" s="45"/>
      <c r="J204" s="46">
        <v>114.0</v>
      </c>
      <c r="K204" s="47" t="s">
        <v>137</v>
      </c>
      <c r="L204" s="48" t="s">
        <v>28</v>
      </c>
      <c r="M204" s="38">
        <f>J204*'Reference Values'!$C$2</f>
        <v>8.05819E+18</v>
      </c>
      <c r="N204" s="49">
        <f>M204*'Reference Values'!$C$26</f>
        <v>0.04198314467</v>
      </c>
      <c r="O204" s="85">
        <f>N204*'Reference Values'!$D$26</f>
        <v>1.846327684</v>
      </c>
      <c r="AE204" s="86"/>
    </row>
    <row r="205" ht="15.75" customHeight="1">
      <c r="A205" s="31" t="s">
        <v>347</v>
      </c>
      <c r="B205" s="32">
        <v>974.0</v>
      </c>
      <c r="C205" s="32">
        <v>4220.0</v>
      </c>
      <c r="D205" s="44" t="s">
        <v>353</v>
      </c>
      <c r="E205" s="33" t="s">
        <v>98</v>
      </c>
      <c r="F205" s="34" t="s">
        <v>302</v>
      </c>
      <c r="G205" s="32" t="s">
        <v>100</v>
      </c>
      <c r="H205" s="32" t="s">
        <v>101</v>
      </c>
      <c r="I205" s="45"/>
      <c r="J205" s="46">
        <v>20.0</v>
      </c>
      <c r="K205" s="47" t="s">
        <v>240</v>
      </c>
      <c r="L205" s="48" t="s">
        <v>28</v>
      </c>
      <c r="M205" s="38">
        <f>J205*'Reference Values'!$C$2</f>
        <v>1.41372E+18</v>
      </c>
      <c r="N205" s="49">
        <f>M205*'Reference Values'!$C$7</f>
        <v>0.00323741123</v>
      </c>
      <c r="O205" s="85">
        <f>N205*'Reference Values'!$D$7</f>
        <v>0.9999999999</v>
      </c>
      <c r="AE205" s="86"/>
    </row>
    <row r="206" ht="15.75" customHeight="1">
      <c r="A206" s="31" t="s">
        <v>347</v>
      </c>
      <c r="B206" s="32">
        <v>984.0</v>
      </c>
      <c r="C206" s="32">
        <v>4310.0</v>
      </c>
      <c r="D206" s="33" t="s">
        <v>88</v>
      </c>
      <c r="E206" s="33" t="s">
        <v>71</v>
      </c>
      <c r="F206" s="34" t="s">
        <v>39</v>
      </c>
      <c r="G206" s="32" t="s">
        <v>40</v>
      </c>
      <c r="H206" s="32" t="s">
        <v>73</v>
      </c>
      <c r="I206" s="45"/>
      <c r="J206" s="46">
        <v>75.0</v>
      </c>
      <c r="K206" s="47" t="s">
        <v>156</v>
      </c>
      <c r="L206" s="48" t="s">
        <v>28</v>
      </c>
      <c r="M206" s="38">
        <f>J206*'Reference Values'!$C$2</f>
        <v>5.30144E+18</v>
      </c>
      <c r="N206" s="89">
        <f>M206*'Reference Values'!$C$18</f>
        <v>0.01765378722</v>
      </c>
      <c r="O206" s="85">
        <f>N206*'Reference Values'!$D$18</f>
        <v>1.2</v>
      </c>
      <c r="AE206" s="86"/>
    </row>
    <row r="207" ht="15.75" customHeight="1">
      <c r="A207" s="31" t="s">
        <v>347</v>
      </c>
      <c r="B207" s="32">
        <v>987.0</v>
      </c>
      <c r="C207" s="32">
        <v>4340.0</v>
      </c>
      <c r="D207" s="33" t="s">
        <v>354</v>
      </c>
      <c r="E207" s="33" t="s">
        <v>71</v>
      </c>
      <c r="F207" s="34" t="s">
        <v>285</v>
      </c>
      <c r="G207" s="32" t="s">
        <v>40</v>
      </c>
      <c r="H207" s="32" t="s">
        <v>73</v>
      </c>
      <c r="I207" s="45"/>
      <c r="J207" s="46">
        <v>635.0</v>
      </c>
      <c r="K207" s="47" t="s">
        <v>355</v>
      </c>
      <c r="L207" s="48" t="s">
        <v>28</v>
      </c>
      <c r="M207" s="38">
        <f>J207*'Reference Values'!$C$2</f>
        <v>4.48855E+19</v>
      </c>
      <c r="N207" s="49">
        <f>M207*'Reference Values'!$C$9</f>
        <v>0.1211908636</v>
      </c>
      <c r="O207" s="85">
        <f>N207*'Reference Values'!$D$9</f>
        <v>1.3</v>
      </c>
      <c r="AE207" s="86"/>
    </row>
    <row r="208" ht="15.75" customHeight="1">
      <c r="A208" s="31" t="s">
        <v>347</v>
      </c>
      <c r="B208" s="32">
        <v>988.0</v>
      </c>
      <c r="C208" s="32">
        <v>4350.0</v>
      </c>
      <c r="D208" s="33" t="s">
        <v>91</v>
      </c>
      <c r="E208" s="33" t="s">
        <v>92</v>
      </c>
      <c r="F208" s="34" t="s">
        <v>143</v>
      </c>
      <c r="G208" s="32" t="s">
        <v>45</v>
      </c>
      <c r="H208" s="32" t="s">
        <v>94</v>
      </c>
      <c r="I208" s="45"/>
      <c r="J208" s="46">
        <v>150.0</v>
      </c>
      <c r="K208" s="47" t="s">
        <v>54</v>
      </c>
      <c r="L208" s="48" t="s">
        <v>28</v>
      </c>
      <c r="M208" s="38">
        <f>J208*'Reference Values'!$C$2</f>
        <v>1.06029E+19</v>
      </c>
      <c r="N208" s="49">
        <f>M208*'Reference Values'!$C$27</f>
        <v>0.2046354915</v>
      </c>
      <c r="O208" s="85">
        <f>N208*'Reference Values'!$D$27</f>
        <v>15.51442569</v>
      </c>
      <c r="AE208" s="86"/>
    </row>
    <row r="209" ht="15.75" customHeight="1">
      <c r="A209" s="31" t="s">
        <v>347</v>
      </c>
      <c r="B209" s="32">
        <v>989.0</v>
      </c>
      <c r="C209" s="32">
        <v>4360.0</v>
      </c>
      <c r="D209" s="33" t="s">
        <v>356</v>
      </c>
      <c r="E209" s="33" t="s">
        <v>357</v>
      </c>
      <c r="F209" s="34" t="s">
        <v>133</v>
      </c>
      <c r="G209" s="32" t="s">
        <v>137</v>
      </c>
      <c r="H209" s="32" t="s">
        <v>73</v>
      </c>
      <c r="I209" s="45"/>
      <c r="J209" s="46"/>
      <c r="K209" s="47"/>
      <c r="L209" s="48"/>
      <c r="M209" s="38"/>
      <c r="N209" s="55"/>
      <c r="O209" s="88"/>
      <c r="AE209" s="86"/>
    </row>
    <row r="210" ht="15.75" customHeight="1">
      <c r="A210" s="31" t="s">
        <v>347</v>
      </c>
      <c r="B210" s="32">
        <v>990.0</v>
      </c>
      <c r="C210" s="32">
        <v>4370.0</v>
      </c>
      <c r="D210" s="33" t="s">
        <v>358</v>
      </c>
      <c r="E210" s="33" t="s">
        <v>359</v>
      </c>
      <c r="F210" s="34" t="s">
        <v>133</v>
      </c>
      <c r="G210" s="32" t="s">
        <v>240</v>
      </c>
      <c r="H210" s="32" t="s">
        <v>27</v>
      </c>
      <c r="I210" s="45"/>
      <c r="J210" s="46">
        <v>10.0</v>
      </c>
      <c r="K210" s="47" t="s">
        <v>145</v>
      </c>
      <c r="L210" s="48" t="s">
        <v>28</v>
      </c>
      <c r="M210" s="38">
        <f>J210*'Reference Values'!$C$2</f>
        <v>7.06858E+17</v>
      </c>
      <c r="N210" s="89">
        <f>M210*'Reference Values'!$C$22</f>
        <v>0.009683959355</v>
      </c>
      <c r="O210" s="85">
        <f>N210*'Reference Values'!$D$22</f>
        <v>0.25</v>
      </c>
      <c r="AE210" s="86"/>
    </row>
    <row r="211" ht="15.75" customHeight="1">
      <c r="A211" s="31" t="s">
        <v>347</v>
      </c>
      <c r="B211" s="32">
        <v>991.0</v>
      </c>
      <c r="C211" s="32">
        <v>4380.0</v>
      </c>
      <c r="D211" s="33" t="s">
        <v>360</v>
      </c>
      <c r="E211" s="33" t="s">
        <v>357</v>
      </c>
      <c r="F211" s="34" t="s">
        <v>133</v>
      </c>
      <c r="G211" s="32" t="s">
        <v>137</v>
      </c>
      <c r="H211" s="32" t="s">
        <v>73</v>
      </c>
      <c r="I211" s="45"/>
      <c r="J211" s="46">
        <v>70.0</v>
      </c>
      <c r="K211" s="47" t="s">
        <v>146</v>
      </c>
      <c r="L211" s="48" t="s">
        <v>28</v>
      </c>
      <c r="M211" s="38">
        <f>J211*'Reference Values'!$C$2</f>
        <v>4.94801E+18</v>
      </c>
      <c r="N211" s="49">
        <f>M211*'Reference Values'!$C$13</f>
        <v>0.04433415553</v>
      </c>
      <c r="O211" s="85">
        <f>N211*'Reference Values'!$D$13</f>
        <v>0.27</v>
      </c>
      <c r="AE211" s="86"/>
    </row>
    <row r="212" ht="15.75" customHeight="1">
      <c r="A212" s="31" t="s">
        <v>347</v>
      </c>
      <c r="B212" s="32">
        <v>993.0</v>
      </c>
      <c r="C212" s="32">
        <v>4400.0</v>
      </c>
      <c r="D212" s="33" t="s">
        <v>300</v>
      </c>
      <c r="E212" s="33" t="s">
        <v>96</v>
      </c>
      <c r="F212" s="34" t="s">
        <v>25</v>
      </c>
      <c r="G212" s="32" t="s">
        <v>34</v>
      </c>
      <c r="H212" s="32" t="s">
        <v>73</v>
      </c>
      <c r="I212" s="45"/>
      <c r="J212" s="46">
        <v>10.0</v>
      </c>
      <c r="K212" s="47" t="s">
        <v>48</v>
      </c>
      <c r="L212" s="48" t="s">
        <v>28</v>
      </c>
      <c r="M212" s="38">
        <f>J212*'Reference Values'!$C$2</f>
        <v>7.06858E+17</v>
      </c>
      <c r="N212" s="49">
        <f>M212*'Reference Values'!$C$24</f>
        <v>0.003180862562</v>
      </c>
      <c r="O212" s="85">
        <f>N212*'Reference Values'!$D$24</f>
        <v>0.1515151515</v>
      </c>
      <c r="AE212" s="86"/>
    </row>
    <row r="213" ht="15.75" customHeight="1">
      <c r="A213" s="31" t="s">
        <v>347</v>
      </c>
      <c r="B213" s="32">
        <v>995.0</v>
      </c>
      <c r="C213" s="32">
        <v>4420.0</v>
      </c>
      <c r="D213" s="44" t="s">
        <v>361</v>
      </c>
      <c r="E213" s="33" t="s">
        <v>98</v>
      </c>
      <c r="F213" s="34" t="s">
        <v>362</v>
      </c>
      <c r="G213" s="32" t="s">
        <v>100</v>
      </c>
      <c r="H213" s="32" t="s">
        <v>101</v>
      </c>
      <c r="I213" s="45"/>
      <c r="J213" s="46"/>
      <c r="K213" s="47"/>
      <c r="L213" s="48"/>
      <c r="M213" s="48"/>
      <c r="N213" s="55"/>
      <c r="O213" s="88"/>
      <c r="AE213" s="86"/>
    </row>
    <row r="214" ht="15.75" customHeight="1">
      <c r="A214" s="31" t="s">
        <v>347</v>
      </c>
      <c r="B214" s="32">
        <v>1000.0</v>
      </c>
      <c r="C214" s="32">
        <v>4470.0</v>
      </c>
      <c r="D214" s="33" t="s">
        <v>363</v>
      </c>
      <c r="E214" s="33" t="s">
        <v>79</v>
      </c>
      <c r="F214" s="34" t="s">
        <v>180</v>
      </c>
      <c r="G214" s="32" t="s">
        <v>26</v>
      </c>
      <c r="H214" s="32" t="s">
        <v>73</v>
      </c>
      <c r="I214" s="45"/>
      <c r="J214" s="46"/>
      <c r="K214" s="47"/>
      <c r="L214" s="48"/>
      <c r="M214" s="48"/>
      <c r="N214" s="55"/>
      <c r="O214" s="88"/>
      <c r="AE214" s="86"/>
    </row>
    <row r="215" ht="15.75" customHeight="1">
      <c r="A215" s="31" t="s">
        <v>347</v>
      </c>
      <c r="B215" s="32">
        <v>1004.0</v>
      </c>
      <c r="C215" s="32">
        <v>4510.0</v>
      </c>
      <c r="D215" s="33" t="s">
        <v>364</v>
      </c>
      <c r="E215" s="33" t="s">
        <v>365</v>
      </c>
      <c r="F215" s="34" t="s">
        <v>139</v>
      </c>
      <c r="G215" s="32" t="s">
        <v>45</v>
      </c>
      <c r="H215" s="32" t="s">
        <v>366</v>
      </c>
      <c r="I215" s="45"/>
      <c r="J215" s="46"/>
      <c r="K215" s="47"/>
      <c r="L215" s="48"/>
      <c r="M215" s="48"/>
      <c r="N215" s="55"/>
      <c r="O215" s="88"/>
      <c r="AE215" s="86"/>
    </row>
    <row r="216" ht="15.75" customHeight="1">
      <c r="A216" s="31" t="s">
        <v>347</v>
      </c>
      <c r="B216" s="32">
        <v>1005.0</v>
      </c>
      <c r="C216" s="32">
        <v>4520.0</v>
      </c>
      <c r="D216" s="33" t="s">
        <v>300</v>
      </c>
      <c r="E216" s="33" t="s">
        <v>96</v>
      </c>
      <c r="F216" s="34" t="s">
        <v>25</v>
      </c>
      <c r="G216" s="32" t="s">
        <v>34</v>
      </c>
      <c r="H216" s="32" t="s">
        <v>73</v>
      </c>
      <c r="I216" s="45"/>
      <c r="J216" s="46"/>
      <c r="K216" s="47"/>
      <c r="L216" s="48"/>
      <c r="M216" s="48"/>
      <c r="N216" s="55"/>
      <c r="O216" s="88"/>
      <c r="AE216" s="86"/>
    </row>
    <row r="217" ht="15.75" customHeight="1">
      <c r="A217" s="31" t="s">
        <v>347</v>
      </c>
      <c r="B217" s="32">
        <v>1007.0</v>
      </c>
      <c r="C217" s="32">
        <v>4540.0</v>
      </c>
      <c r="D217" s="44" t="s">
        <v>367</v>
      </c>
      <c r="E217" s="33" t="s">
        <v>98</v>
      </c>
      <c r="F217" s="34" t="s">
        <v>302</v>
      </c>
      <c r="G217" s="32" t="s">
        <v>100</v>
      </c>
      <c r="H217" s="32" t="s">
        <v>101</v>
      </c>
      <c r="I217" s="45"/>
      <c r="J217" s="46"/>
      <c r="K217" s="47"/>
      <c r="L217" s="48"/>
      <c r="M217" s="48"/>
      <c r="N217" s="55"/>
      <c r="O217" s="88"/>
      <c r="AE217" s="86"/>
    </row>
    <row r="218" ht="15.75" customHeight="1">
      <c r="A218" s="31" t="s">
        <v>347</v>
      </c>
      <c r="B218" s="32">
        <v>1026.0</v>
      </c>
      <c r="C218" s="32">
        <v>4720.0</v>
      </c>
      <c r="D218" s="33" t="s">
        <v>368</v>
      </c>
      <c r="E218" s="33" t="s">
        <v>223</v>
      </c>
      <c r="F218" s="34" t="s">
        <v>369</v>
      </c>
      <c r="G218" s="32" t="s">
        <v>156</v>
      </c>
      <c r="H218" s="32" t="s">
        <v>73</v>
      </c>
      <c r="I218" s="45"/>
      <c r="J218" s="46"/>
      <c r="K218" s="47"/>
      <c r="L218" s="48"/>
      <c r="M218" s="48"/>
      <c r="N218" s="55"/>
      <c r="O218" s="88"/>
      <c r="AE218" s="86"/>
    </row>
    <row r="219" ht="15.75" customHeight="1">
      <c r="A219" s="31" t="s">
        <v>347</v>
      </c>
      <c r="B219" s="32">
        <v>1027.0</v>
      </c>
      <c r="C219" s="32">
        <v>4730.0</v>
      </c>
      <c r="D219" s="33" t="s">
        <v>370</v>
      </c>
      <c r="E219" s="33" t="s">
        <v>71</v>
      </c>
      <c r="F219" s="34" t="s">
        <v>226</v>
      </c>
      <c r="G219" s="32" t="s">
        <v>40</v>
      </c>
      <c r="H219" s="32" t="s">
        <v>73</v>
      </c>
      <c r="I219" s="45"/>
      <c r="J219" s="46"/>
      <c r="K219" s="47"/>
      <c r="L219" s="48"/>
      <c r="M219" s="48"/>
      <c r="N219" s="55"/>
      <c r="O219" s="88"/>
      <c r="AE219" s="86"/>
    </row>
    <row r="220" ht="15.75" customHeight="1">
      <c r="A220" s="31" t="s">
        <v>347</v>
      </c>
      <c r="B220" s="32">
        <v>1028.0</v>
      </c>
      <c r="C220" s="32">
        <v>4740.0</v>
      </c>
      <c r="D220" s="44" t="s">
        <v>218</v>
      </c>
      <c r="E220" s="33" t="s">
        <v>60</v>
      </c>
      <c r="F220" s="34" t="s">
        <v>31</v>
      </c>
      <c r="G220" s="32" t="s">
        <v>32</v>
      </c>
      <c r="H220" s="32" t="s">
        <v>61</v>
      </c>
      <c r="I220" s="45"/>
      <c r="J220" s="46"/>
      <c r="K220" s="47"/>
      <c r="L220" s="48"/>
      <c r="M220" s="48"/>
      <c r="N220" s="55"/>
      <c r="O220" s="88"/>
      <c r="AE220" s="86"/>
    </row>
    <row r="221" ht="15.75" customHeight="1">
      <c r="A221" s="31" t="s">
        <v>347</v>
      </c>
      <c r="B221" s="32">
        <v>1038.0</v>
      </c>
      <c r="C221" s="32">
        <v>4840.0</v>
      </c>
      <c r="D221" s="33" t="s">
        <v>371</v>
      </c>
      <c r="E221" s="33" t="s">
        <v>372</v>
      </c>
      <c r="F221" s="34" t="s">
        <v>373</v>
      </c>
      <c r="G221" s="32" t="s">
        <v>355</v>
      </c>
      <c r="H221" s="32" t="s">
        <v>125</v>
      </c>
      <c r="I221" s="45"/>
      <c r="J221" s="46"/>
      <c r="K221" s="47"/>
      <c r="L221" s="48"/>
      <c r="M221" s="48"/>
      <c r="N221" s="55"/>
      <c r="O221" s="88"/>
      <c r="AE221" s="86"/>
    </row>
    <row r="222" ht="15.75" customHeight="1">
      <c r="A222" s="31" t="s">
        <v>347</v>
      </c>
      <c r="B222" s="32">
        <v>1040.0</v>
      </c>
      <c r="C222" s="32">
        <v>4860.0</v>
      </c>
      <c r="D222" s="44" t="s">
        <v>374</v>
      </c>
      <c r="E222" s="33" t="s">
        <v>30</v>
      </c>
      <c r="F222" s="34" t="s">
        <v>47</v>
      </c>
      <c r="G222" s="32" t="s">
        <v>32</v>
      </c>
      <c r="H222" s="32" t="s">
        <v>33</v>
      </c>
      <c r="I222" s="45"/>
      <c r="J222" s="46"/>
      <c r="K222" s="47"/>
      <c r="L222" s="48"/>
      <c r="M222" s="48"/>
      <c r="N222" s="55"/>
      <c r="O222" s="88"/>
      <c r="AE222" s="86"/>
    </row>
    <row r="223" ht="15.75" customHeight="1">
      <c r="A223" s="31" t="s">
        <v>347</v>
      </c>
      <c r="B223" s="32">
        <v>1046.0</v>
      </c>
      <c r="C223" s="32">
        <v>4920.0</v>
      </c>
      <c r="D223" s="33" t="s">
        <v>257</v>
      </c>
      <c r="E223" s="33" t="s">
        <v>375</v>
      </c>
      <c r="F223" s="34" t="s">
        <v>376</v>
      </c>
      <c r="G223" s="32" t="s">
        <v>40</v>
      </c>
      <c r="H223" s="32" t="s">
        <v>377</v>
      </c>
      <c r="I223" s="45"/>
      <c r="J223" s="46"/>
      <c r="K223" s="47"/>
      <c r="L223" s="48"/>
      <c r="M223" s="48"/>
      <c r="N223" s="55"/>
      <c r="O223" s="88"/>
      <c r="AE223" s="86"/>
    </row>
    <row r="224" ht="15.75" customHeight="1">
      <c r="A224" s="31" t="s">
        <v>347</v>
      </c>
      <c r="B224" s="32">
        <v>1047.0</v>
      </c>
      <c r="C224" s="32">
        <v>4930.0</v>
      </c>
      <c r="D224" s="33" t="s">
        <v>258</v>
      </c>
      <c r="E224" s="33" t="s">
        <v>79</v>
      </c>
      <c r="F224" s="34" t="s">
        <v>226</v>
      </c>
      <c r="G224" s="32" t="s">
        <v>26</v>
      </c>
      <c r="H224" s="62" t="s">
        <v>73</v>
      </c>
      <c r="I224" s="99"/>
      <c r="J224" s="46"/>
      <c r="K224" s="47"/>
      <c r="L224" s="48"/>
      <c r="M224" s="48"/>
      <c r="N224" s="55"/>
      <c r="O224" s="88"/>
      <c r="AE224" s="86"/>
    </row>
    <row r="225" ht="15.75" customHeight="1">
      <c r="A225" s="61" t="s">
        <v>347</v>
      </c>
      <c r="B225" s="32">
        <v>1048.0</v>
      </c>
      <c r="C225" s="32">
        <v>4940.0</v>
      </c>
      <c r="D225" s="44" t="s">
        <v>378</v>
      </c>
      <c r="E225" s="33" t="s">
        <v>42</v>
      </c>
      <c r="F225" s="34" t="s">
        <v>43</v>
      </c>
      <c r="G225" s="32" t="s">
        <v>32</v>
      </c>
      <c r="H225" s="62" t="s">
        <v>44</v>
      </c>
      <c r="I225" s="99"/>
      <c r="J225" s="46"/>
      <c r="K225" s="47"/>
      <c r="L225" s="48"/>
      <c r="M225" s="48"/>
      <c r="N225" s="55"/>
      <c r="O225" s="88"/>
      <c r="AE225" s="86"/>
    </row>
    <row r="226" ht="15.75" customHeight="1">
      <c r="A226" s="31" t="s">
        <v>347</v>
      </c>
      <c r="B226" s="32">
        <v>966.0</v>
      </c>
      <c r="C226" s="32">
        <v>4140.0</v>
      </c>
      <c r="D226" s="33" t="s">
        <v>247</v>
      </c>
      <c r="E226" s="33" t="s">
        <v>135</v>
      </c>
      <c r="F226" s="34" t="s">
        <v>379</v>
      </c>
      <c r="G226" s="32" t="s">
        <v>137</v>
      </c>
      <c r="H226" s="62" t="s">
        <v>94</v>
      </c>
      <c r="I226" s="99"/>
      <c r="J226" s="46"/>
      <c r="K226" s="47"/>
      <c r="L226" s="48"/>
      <c r="M226" s="48"/>
      <c r="N226" s="55"/>
      <c r="O226" s="88"/>
      <c r="AE226" s="86"/>
    </row>
    <row r="227" ht="15.75" customHeight="1">
      <c r="A227" s="31" t="s">
        <v>347</v>
      </c>
      <c r="B227" s="32">
        <v>967.0</v>
      </c>
      <c r="C227" s="32">
        <v>4150.0</v>
      </c>
      <c r="D227" s="33" t="s">
        <v>130</v>
      </c>
      <c r="E227" s="33" t="s">
        <v>138</v>
      </c>
      <c r="F227" s="34" t="s">
        <v>39</v>
      </c>
      <c r="G227" s="32" t="s">
        <v>54</v>
      </c>
      <c r="H227" s="62" t="s">
        <v>94</v>
      </c>
      <c r="I227" s="99"/>
      <c r="J227" s="46"/>
      <c r="K227" s="47"/>
      <c r="L227" s="48"/>
      <c r="M227" s="48"/>
      <c r="N227" s="55"/>
      <c r="O227" s="88"/>
      <c r="AE227" s="86"/>
    </row>
    <row r="228" ht="15.75" customHeight="1">
      <c r="A228" s="31" t="s">
        <v>347</v>
      </c>
      <c r="B228" s="32">
        <v>980.0</v>
      </c>
      <c r="C228" s="32">
        <v>4270.0</v>
      </c>
      <c r="D228" s="33" t="s">
        <v>247</v>
      </c>
      <c r="E228" s="33" t="s">
        <v>135</v>
      </c>
      <c r="F228" s="34" t="s">
        <v>380</v>
      </c>
      <c r="G228" s="32" t="s">
        <v>137</v>
      </c>
      <c r="H228" s="62" t="s">
        <v>94</v>
      </c>
      <c r="I228" s="99"/>
      <c r="J228" s="46"/>
      <c r="K228" s="47"/>
      <c r="L228" s="48"/>
      <c r="M228" s="48"/>
      <c r="N228" s="55"/>
      <c r="O228" s="88"/>
      <c r="AE228" s="86"/>
    </row>
    <row r="229" ht="15.75" customHeight="1">
      <c r="A229" s="31" t="s">
        <v>347</v>
      </c>
      <c r="B229" s="32">
        <v>981.0</v>
      </c>
      <c r="C229" s="32">
        <v>4280.0</v>
      </c>
      <c r="D229" s="33" t="s">
        <v>130</v>
      </c>
      <c r="E229" s="33" t="s">
        <v>138</v>
      </c>
      <c r="F229" s="34" t="s">
        <v>39</v>
      </c>
      <c r="G229" s="32" t="s">
        <v>54</v>
      </c>
      <c r="H229" s="62" t="s">
        <v>94</v>
      </c>
      <c r="I229" s="99"/>
      <c r="J229" s="46"/>
      <c r="K229" s="47"/>
      <c r="L229" s="48"/>
      <c r="M229" s="48"/>
      <c r="N229" s="55"/>
      <c r="O229" s="88"/>
      <c r="AE229" s="86"/>
    </row>
    <row r="230" ht="15.75" customHeight="1">
      <c r="A230" s="31" t="s">
        <v>347</v>
      </c>
      <c r="B230" s="32">
        <v>1019.0</v>
      </c>
      <c r="C230" s="32">
        <v>4670.0</v>
      </c>
      <c r="D230" s="33" t="s">
        <v>147</v>
      </c>
      <c r="E230" s="33" t="s">
        <v>381</v>
      </c>
      <c r="F230" s="189"/>
      <c r="G230" s="32" t="s">
        <v>144</v>
      </c>
      <c r="H230" s="62" t="s">
        <v>125</v>
      </c>
      <c r="I230" s="99"/>
      <c r="J230" s="46"/>
      <c r="K230" s="47"/>
      <c r="L230" s="48"/>
      <c r="M230" s="48"/>
      <c r="N230" s="55"/>
      <c r="O230" s="88"/>
      <c r="AE230" s="86"/>
    </row>
    <row r="231" ht="15.75" customHeight="1">
      <c r="A231" s="31" t="s">
        <v>347</v>
      </c>
      <c r="B231" s="32">
        <v>1020.0</v>
      </c>
      <c r="C231" s="32">
        <v>4670.0</v>
      </c>
      <c r="D231" s="33" t="s">
        <v>147</v>
      </c>
      <c r="E231" s="33" t="s">
        <v>382</v>
      </c>
      <c r="F231" s="34" t="s">
        <v>383</v>
      </c>
      <c r="G231" s="32" t="s">
        <v>145</v>
      </c>
      <c r="H231" s="32" t="s">
        <v>384</v>
      </c>
      <c r="I231" s="45"/>
      <c r="J231" s="46"/>
      <c r="K231" s="47"/>
      <c r="L231" s="48"/>
      <c r="M231" s="48"/>
      <c r="N231" s="55"/>
      <c r="O231" s="88"/>
      <c r="AE231" s="86"/>
    </row>
    <row r="232" ht="15.75" customHeight="1">
      <c r="A232" s="31" t="s">
        <v>347</v>
      </c>
      <c r="B232" s="32">
        <v>1021.0</v>
      </c>
      <c r="C232" s="32">
        <v>4670.0</v>
      </c>
      <c r="D232" s="33" t="s">
        <v>147</v>
      </c>
      <c r="E232" s="33" t="s">
        <v>385</v>
      </c>
      <c r="F232" s="34"/>
      <c r="G232" s="32" t="s">
        <v>146</v>
      </c>
      <c r="H232" s="32" t="s">
        <v>125</v>
      </c>
      <c r="I232" s="45"/>
      <c r="J232" s="46"/>
      <c r="K232" s="47"/>
      <c r="L232" s="48"/>
      <c r="M232" s="48"/>
      <c r="N232" s="55"/>
      <c r="O232" s="88"/>
      <c r="AE232" s="86"/>
    </row>
    <row r="233" ht="15.75" customHeight="1">
      <c r="A233" s="31" t="s">
        <v>347</v>
      </c>
      <c r="B233" s="32">
        <v>1022.0</v>
      </c>
      <c r="C233" s="32">
        <v>4680.0</v>
      </c>
      <c r="D233" s="33" t="s">
        <v>152</v>
      </c>
      <c r="E233" s="33" t="s">
        <v>386</v>
      </c>
      <c r="F233" s="34" t="s">
        <v>306</v>
      </c>
      <c r="G233" s="32" t="s">
        <v>146</v>
      </c>
      <c r="H233" s="32" t="s">
        <v>154</v>
      </c>
      <c r="I233" s="45"/>
      <c r="J233" s="46"/>
      <c r="K233" s="47"/>
      <c r="L233" s="48"/>
      <c r="M233" s="48"/>
      <c r="N233" s="55"/>
      <c r="O233" s="88"/>
      <c r="AE233" s="86"/>
    </row>
    <row r="234" ht="15.75" customHeight="1">
      <c r="A234" s="31" t="s">
        <v>347</v>
      </c>
      <c r="B234" s="32">
        <v>1033.0</v>
      </c>
      <c r="C234" s="32">
        <v>4790.0</v>
      </c>
      <c r="D234" s="33" t="s">
        <v>134</v>
      </c>
      <c r="E234" s="33" t="s">
        <v>135</v>
      </c>
      <c r="F234" s="34" t="s">
        <v>387</v>
      </c>
      <c r="G234" s="32" t="s">
        <v>137</v>
      </c>
      <c r="H234" s="32" t="s">
        <v>94</v>
      </c>
      <c r="I234" s="45"/>
      <c r="J234" s="46"/>
      <c r="K234" s="47"/>
      <c r="L234" s="48"/>
      <c r="M234" s="48"/>
      <c r="N234" s="55"/>
      <c r="O234" s="88"/>
      <c r="AE234" s="86"/>
    </row>
    <row r="235" ht="15.75" customHeight="1">
      <c r="A235" s="31" t="s">
        <v>347</v>
      </c>
      <c r="B235" s="32">
        <v>1034.0</v>
      </c>
      <c r="C235" s="32">
        <v>4800.0</v>
      </c>
      <c r="D235" s="33" t="s">
        <v>130</v>
      </c>
      <c r="E235" s="33" t="s">
        <v>138</v>
      </c>
      <c r="F235" s="34" t="s">
        <v>39</v>
      </c>
      <c r="G235" s="32" t="s">
        <v>54</v>
      </c>
      <c r="H235" s="32" t="s">
        <v>94</v>
      </c>
      <c r="I235" s="45"/>
      <c r="J235" s="46"/>
      <c r="K235" s="47"/>
      <c r="L235" s="48"/>
      <c r="M235" s="48"/>
      <c r="N235" s="55"/>
      <c r="O235" s="88"/>
      <c r="AE235" s="86"/>
    </row>
    <row r="236" ht="15.75" customHeight="1">
      <c r="A236" s="31" t="s">
        <v>347</v>
      </c>
      <c r="B236" s="32">
        <v>1037.0</v>
      </c>
      <c r="C236" s="32">
        <v>4830.0</v>
      </c>
      <c r="D236" s="33" t="s">
        <v>123</v>
      </c>
      <c r="E236" s="33" t="s">
        <v>124</v>
      </c>
      <c r="F236" s="34" t="s">
        <v>136</v>
      </c>
      <c r="G236" s="32" t="s">
        <v>48</v>
      </c>
      <c r="H236" s="32" t="s">
        <v>125</v>
      </c>
      <c r="I236" s="45"/>
      <c r="J236" s="46"/>
      <c r="K236" s="47"/>
      <c r="L236" s="48"/>
      <c r="M236" s="48"/>
      <c r="N236" s="55"/>
      <c r="O236" s="88"/>
      <c r="AE236" s="86"/>
    </row>
    <row r="237" ht="15.75" customHeight="1">
      <c r="A237" s="65" t="s">
        <v>347</v>
      </c>
      <c r="B237" s="32">
        <v>1039.0</v>
      </c>
      <c r="C237" s="32">
        <v>4850.0</v>
      </c>
      <c r="D237" s="33" t="s">
        <v>247</v>
      </c>
      <c r="E237" s="33" t="s">
        <v>253</v>
      </c>
      <c r="F237" s="34" t="s">
        <v>388</v>
      </c>
      <c r="G237" s="32" t="s">
        <v>137</v>
      </c>
      <c r="H237" s="32" t="s">
        <v>125</v>
      </c>
      <c r="I237" s="152"/>
      <c r="J237" s="67"/>
      <c r="K237" s="68"/>
      <c r="L237" s="69"/>
      <c r="M237" s="69"/>
      <c r="N237" s="70"/>
      <c r="O237" s="88"/>
      <c r="AE237" s="86"/>
    </row>
    <row r="238" ht="15.75" customHeight="1">
      <c r="A238" s="71" t="s">
        <v>389</v>
      </c>
      <c r="B238" s="127">
        <v>651.0</v>
      </c>
      <c r="C238" s="127">
        <v>2430.0</v>
      </c>
      <c r="D238" s="44" t="s">
        <v>390</v>
      </c>
      <c r="E238" s="128" t="s">
        <v>30</v>
      </c>
      <c r="F238" s="129" t="s">
        <v>391</v>
      </c>
      <c r="G238" s="127" t="s">
        <v>32</v>
      </c>
      <c r="H238" s="127" t="s">
        <v>33</v>
      </c>
      <c r="I238" s="188"/>
      <c r="J238" s="130">
        <f>35*1000+500</f>
        <v>35500</v>
      </c>
      <c r="K238" s="131" t="s">
        <v>32</v>
      </c>
      <c r="L238" s="77" t="s">
        <v>28</v>
      </c>
      <c r="M238" s="77">
        <f>J238*'Reference Values'!$C$2</f>
        <v>2.50935E+21</v>
      </c>
      <c r="N238" s="181">
        <f>M238*'Reference Values'!$C$17</f>
        <v>2.42402933</v>
      </c>
      <c r="O238" s="80">
        <f>N238*'Reference Values'!$D$17</f>
        <v>10.18092318</v>
      </c>
      <c r="P238" s="29"/>
      <c r="Q238" s="29"/>
      <c r="R238" s="29"/>
      <c r="S238" s="190">
        <v>11.3</v>
      </c>
      <c r="T238" s="190">
        <v>15.7</v>
      </c>
      <c r="U238" s="190">
        <v>15.7</v>
      </c>
      <c r="V238" s="190">
        <v>15.7</v>
      </c>
      <c r="W238" s="190">
        <v>15.7</v>
      </c>
      <c r="X238" s="190">
        <v>33.4</v>
      </c>
      <c r="Y238" s="190">
        <v>37.9</v>
      </c>
      <c r="Z238" s="190">
        <v>46.7</v>
      </c>
      <c r="AA238" s="190">
        <v>60.0</v>
      </c>
      <c r="AB238" s="190">
        <v>83.0</v>
      </c>
      <c r="AC238" s="190">
        <v>131.4</v>
      </c>
      <c r="AD238" s="190">
        <v>221.6</v>
      </c>
      <c r="AE238" s="191">
        <v>440.7</v>
      </c>
    </row>
    <row r="239" ht="15.75" customHeight="1">
      <c r="A239" s="92" t="s">
        <v>389</v>
      </c>
      <c r="B239" s="127">
        <v>672.0</v>
      </c>
      <c r="C239" s="127">
        <v>2640.0</v>
      </c>
      <c r="D239" s="44" t="s">
        <v>392</v>
      </c>
      <c r="E239" s="128" t="s">
        <v>30</v>
      </c>
      <c r="F239" s="129" t="s">
        <v>391</v>
      </c>
      <c r="G239" s="127" t="s">
        <v>32</v>
      </c>
      <c r="H239" s="127" t="s">
        <v>33</v>
      </c>
      <c r="I239" s="45"/>
      <c r="J239" s="26">
        <v>34000.0</v>
      </c>
      <c r="K239" s="5" t="s">
        <v>26</v>
      </c>
      <c r="L239" s="27" t="s">
        <v>28</v>
      </c>
      <c r="M239" s="77">
        <f>J239*'Reference Values'!$C$2</f>
        <v>2.40332E+21</v>
      </c>
      <c r="N239" s="89">
        <f>M239*'Reference Values'!$C$19</f>
        <v>7.618519265</v>
      </c>
      <c r="O239" s="85">
        <f>N239*'Reference Values'!$D$19</f>
        <v>491.9434396</v>
      </c>
      <c r="AE239" s="86"/>
    </row>
    <row r="240" ht="15.75" customHeight="1">
      <c r="A240" s="92" t="s">
        <v>389</v>
      </c>
      <c r="B240" s="192">
        <v>693.0</v>
      </c>
      <c r="C240" s="192">
        <v>2850.0</v>
      </c>
      <c r="D240" s="193" t="s">
        <v>393</v>
      </c>
      <c r="E240" s="194" t="s">
        <v>30</v>
      </c>
      <c r="F240" s="195" t="s">
        <v>394</v>
      </c>
      <c r="G240" s="192" t="s">
        <v>32</v>
      </c>
      <c r="H240" s="192" t="s">
        <v>33</v>
      </c>
      <c r="I240" s="45"/>
      <c r="J240" s="26">
        <v>230.0</v>
      </c>
      <c r="K240" s="5" t="s">
        <v>40</v>
      </c>
      <c r="L240" s="27" t="s">
        <v>28</v>
      </c>
      <c r="M240" s="77">
        <f>J240*'Reference Values'!$C$2</f>
        <v>1.62577E+19</v>
      </c>
      <c r="N240" s="49">
        <f>M240*'Reference Values'!$C$20</f>
        <v>0.03462899042</v>
      </c>
      <c r="O240" s="85">
        <f>N240*'Reference Values'!$D$20</f>
        <v>0.07086697834</v>
      </c>
      <c r="AE240" s="86"/>
    </row>
    <row r="241" ht="15.75" customHeight="1">
      <c r="A241" s="92" t="s">
        <v>389</v>
      </c>
      <c r="B241" s="133">
        <v>701.0</v>
      </c>
      <c r="C241" s="133">
        <v>2900.0</v>
      </c>
      <c r="D241" s="196" t="s">
        <v>395</v>
      </c>
      <c r="E241" s="134" t="s">
        <v>30</v>
      </c>
      <c r="F241" s="135" t="s">
        <v>394</v>
      </c>
      <c r="G241" s="133" t="s">
        <v>32</v>
      </c>
      <c r="H241" s="133" t="s">
        <v>33</v>
      </c>
      <c r="I241" s="45"/>
      <c r="J241" s="26">
        <v>10000.0</v>
      </c>
      <c r="K241" s="5" t="s">
        <v>396</v>
      </c>
      <c r="L241" s="27" t="s">
        <v>28</v>
      </c>
      <c r="M241" s="77">
        <f>J241*'Reference Values'!$C$2</f>
        <v>7.06858E+20</v>
      </c>
      <c r="N241" s="89">
        <f>M241*'Reference Values'!$C$23</f>
        <v>0.6644468462</v>
      </c>
      <c r="O241" s="85">
        <f>N241*'Reference Values'!$D$23</f>
        <v>1.9</v>
      </c>
      <c r="AE241" s="86"/>
    </row>
    <row r="242" ht="15.75" customHeight="1">
      <c r="A242" s="92" t="s">
        <v>389</v>
      </c>
      <c r="B242" s="133">
        <v>709.0</v>
      </c>
      <c r="C242" s="133">
        <v>2950.0</v>
      </c>
      <c r="D242" s="196" t="s">
        <v>397</v>
      </c>
      <c r="E242" s="134" t="s">
        <v>30</v>
      </c>
      <c r="F242" s="135" t="s">
        <v>398</v>
      </c>
      <c r="G242" s="133" t="s">
        <v>32</v>
      </c>
      <c r="H242" s="133" t="s">
        <v>33</v>
      </c>
      <c r="I242" s="45"/>
      <c r="J242" s="26"/>
      <c r="K242" s="5"/>
      <c r="N242" s="87"/>
      <c r="O242" s="88"/>
      <c r="AE242" s="86"/>
    </row>
    <row r="243" ht="15.75" customHeight="1">
      <c r="A243" s="92" t="s">
        <v>389</v>
      </c>
      <c r="B243" s="133">
        <v>715.0</v>
      </c>
      <c r="C243" s="133">
        <v>3000.0</v>
      </c>
      <c r="D243" s="196" t="s">
        <v>399</v>
      </c>
      <c r="E243" s="134" t="s">
        <v>30</v>
      </c>
      <c r="F243" s="135" t="s">
        <v>116</v>
      </c>
      <c r="G243" s="133" t="s">
        <v>32</v>
      </c>
      <c r="H243" s="133" t="s">
        <v>33</v>
      </c>
      <c r="I243" s="45"/>
      <c r="J243" s="26"/>
      <c r="K243" s="5"/>
      <c r="N243" s="87"/>
      <c r="O243" s="88"/>
      <c r="AE243" s="86"/>
    </row>
    <row r="244" ht="15.75" customHeight="1">
      <c r="A244" s="92" t="s">
        <v>389</v>
      </c>
      <c r="B244" s="127">
        <v>721.0</v>
      </c>
      <c r="C244" s="127">
        <v>3060.0</v>
      </c>
      <c r="D244" s="128" t="s">
        <v>23</v>
      </c>
      <c r="E244" s="128" t="s">
        <v>24</v>
      </c>
      <c r="F244" s="129" t="s">
        <v>400</v>
      </c>
      <c r="G244" s="127" t="s">
        <v>26</v>
      </c>
      <c r="H244" s="127" t="s">
        <v>27</v>
      </c>
      <c r="I244" s="45"/>
      <c r="J244" s="26"/>
      <c r="K244" s="5"/>
      <c r="N244" s="87"/>
      <c r="O244" s="88"/>
      <c r="AE244" s="86"/>
    </row>
    <row r="245" ht="15.75" customHeight="1">
      <c r="A245" s="92" t="s">
        <v>389</v>
      </c>
      <c r="B245" s="127">
        <v>722.0</v>
      </c>
      <c r="C245" s="127">
        <v>3070.0</v>
      </c>
      <c r="D245" s="128" t="s">
        <v>401</v>
      </c>
      <c r="E245" s="128" t="s">
        <v>402</v>
      </c>
      <c r="F245" s="129"/>
      <c r="G245" s="127" t="s">
        <v>26</v>
      </c>
      <c r="H245" s="127" t="s">
        <v>38</v>
      </c>
      <c r="I245" s="45"/>
      <c r="J245" s="26"/>
      <c r="K245" s="5"/>
      <c r="N245" s="87"/>
      <c r="O245" s="88"/>
      <c r="AE245" s="86"/>
    </row>
    <row r="246" ht="15.75" customHeight="1">
      <c r="A246" s="92" t="s">
        <v>389</v>
      </c>
      <c r="B246" s="127">
        <v>724.0</v>
      </c>
      <c r="C246" s="127">
        <v>3090.0</v>
      </c>
      <c r="D246" s="128" t="s">
        <v>403</v>
      </c>
      <c r="E246" s="128" t="s">
        <v>71</v>
      </c>
      <c r="F246" s="129" t="s">
        <v>143</v>
      </c>
      <c r="G246" s="127" t="s">
        <v>40</v>
      </c>
      <c r="H246" s="127" t="s">
        <v>73</v>
      </c>
      <c r="I246" s="45"/>
      <c r="J246" s="26"/>
      <c r="K246" s="5"/>
      <c r="N246" s="87"/>
      <c r="O246" s="88"/>
      <c r="AE246" s="86"/>
    </row>
    <row r="247" ht="15.75" customHeight="1">
      <c r="A247" s="92" t="s">
        <v>389</v>
      </c>
      <c r="B247" s="127">
        <v>725.0</v>
      </c>
      <c r="C247" s="127">
        <v>3100.0</v>
      </c>
      <c r="D247" s="128" t="s">
        <v>404</v>
      </c>
      <c r="E247" s="128" t="s">
        <v>405</v>
      </c>
      <c r="F247" s="129" t="s">
        <v>406</v>
      </c>
      <c r="G247" s="127" t="s">
        <v>396</v>
      </c>
      <c r="H247" s="127" t="s">
        <v>73</v>
      </c>
      <c r="I247" s="45"/>
      <c r="J247" s="26"/>
      <c r="K247" s="5"/>
      <c r="N247" s="87"/>
      <c r="O247" s="88"/>
      <c r="AE247" s="86"/>
    </row>
    <row r="248" ht="15.75" customHeight="1">
      <c r="A248" s="92" t="s">
        <v>389</v>
      </c>
      <c r="B248" s="127">
        <v>728.0</v>
      </c>
      <c r="C248" s="127">
        <v>3130.0</v>
      </c>
      <c r="D248" s="128" t="s">
        <v>407</v>
      </c>
      <c r="E248" s="128" t="s">
        <v>71</v>
      </c>
      <c r="F248" s="129" t="s">
        <v>170</v>
      </c>
      <c r="G248" s="127" t="s">
        <v>40</v>
      </c>
      <c r="H248" s="127" t="s">
        <v>73</v>
      </c>
      <c r="I248" s="121"/>
      <c r="J248" s="103"/>
      <c r="K248" s="104"/>
      <c r="L248" s="105"/>
      <c r="M248" s="197"/>
      <c r="N248" s="106"/>
      <c r="O248" s="198"/>
      <c r="P248" s="197"/>
      <c r="Q248" s="197"/>
      <c r="R248" s="197"/>
      <c r="S248" s="197"/>
      <c r="T248" s="197"/>
      <c r="U248" s="197"/>
      <c r="V248" s="197"/>
      <c r="W248" s="197"/>
      <c r="X248" s="197"/>
      <c r="Y248" s="197"/>
      <c r="Z248" s="197"/>
      <c r="AA248" s="197"/>
      <c r="AB248" s="197"/>
      <c r="AC248" s="197"/>
      <c r="AD248" s="197"/>
      <c r="AE248" s="199"/>
    </row>
    <row r="249" ht="15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00"/>
      <c r="L249" s="27"/>
      <c r="M249" s="27"/>
      <c r="N249" s="27"/>
    </row>
    <row r="250" ht="15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00"/>
      <c r="L250" s="27"/>
      <c r="M250" s="27"/>
      <c r="N250" s="27"/>
    </row>
    <row r="251" ht="15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00"/>
      <c r="L251" s="27"/>
      <c r="M251" s="27"/>
      <c r="N251" s="27"/>
    </row>
    <row r="252" ht="15.75" customHeight="1">
      <c r="K252" s="200"/>
    </row>
    <row r="253" ht="15.75" customHeight="1">
      <c r="K253" s="200"/>
    </row>
    <row r="254" ht="15.75" customHeight="1">
      <c r="A254" s="27"/>
      <c r="K254" s="200"/>
    </row>
    <row r="255" ht="15.75" customHeight="1">
      <c r="B255" s="27"/>
      <c r="C255" s="200"/>
      <c r="D255" s="27"/>
      <c r="E255" s="27"/>
      <c r="F255" s="27"/>
      <c r="G255" s="27"/>
      <c r="K255" s="200"/>
    </row>
    <row r="256" ht="15.75" customHeight="1">
      <c r="A256" s="27"/>
      <c r="F256" s="27"/>
      <c r="K256" s="200"/>
    </row>
    <row r="257" ht="15.75" customHeight="1">
      <c r="A257" s="27"/>
      <c r="F257" s="27"/>
      <c r="K257" s="200"/>
    </row>
    <row r="258" ht="15.75" customHeight="1">
      <c r="A258" s="27"/>
      <c r="F258" s="27"/>
      <c r="K258" s="200"/>
    </row>
    <row r="259" ht="15.75" customHeight="1">
      <c r="A259" s="27"/>
      <c r="B259" s="27"/>
      <c r="C259" s="27"/>
      <c r="D259" s="27"/>
      <c r="F259" s="27"/>
      <c r="K259" s="200"/>
    </row>
    <row r="260" ht="15.75" customHeight="1">
      <c r="A260" s="27"/>
      <c r="F260" s="27"/>
      <c r="K260" s="200"/>
    </row>
    <row r="261" ht="15.75" customHeight="1">
      <c r="A261" s="27"/>
      <c r="F261" s="27"/>
      <c r="K261" s="200"/>
    </row>
    <row r="262" ht="15.75" customHeight="1">
      <c r="A262" s="27"/>
      <c r="B262" s="27"/>
      <c r="C262" s="27"/>
      <c r="D262" s="27"/>
      <c r="F262" s="27"/>
      <c r="G262" s="27"/>
      <c r="K262" s="200"/>
    </row>
    <row r="263" ht="15.75" customHeight="1">
      <c r="A263" s="27"/>
      <c r="K263" s="200"/>
    </row>
    <row r="264" ht="15.75" customHeight="1">
      <c r="A264" s="27"/>
      <c r="H264" s="200"/>
      <c r="K264" s="200"/>
      <c r="AI264" s="200"/>
      <c r="AJ264" s="200"/>
      <c r="AK264" s="200"/>
      <c r="AL264" s="200"/>
      <c r="AM264" s="200"/>
      <c r="AN264" s="200"/>
      <c r="AO264" s="200"/>
      <c r="AP264" s="200"/>
      <c r="AQ264" s="200"/>
      <c r="AR264" s="200"/>
    </row>
    <row r="265" ht="15.75" customHeight="1">
      <c r="A265" s="27"/>
      <c r="B265" s="27"/>
      <c r="C265" s="27"/>
      <c r="D265" s="27"/>
      <c r="F265" s="27"/>
      <c r="G265" s="27"/>
      <c r="H265" s="200"/>
      <c r="K265" s="200"/>
      <c r="AI265" s="200"/>
      <c r="AJ265" s="200"/>
      <c r="AK265" s="200"/>
      <c r="AL265" s="200"/>
      <c r="AM265" s="200"/>
      <c r="AN265" s="200"/>
      <c r="AO265" s="200"/>
      <c r="AP265" s="200"/>
      <c r="AQ265" s="200"/>
      <c r="AR265" s="200"/>
    </row>
    <row r="266" ht="15.75" customHeight="1">
      <c r="A266" s="27"/>
      <c r="H266" s="200"/>
      <c r="K266" s="200"/>
      <c r="AI266" s="200"/>
      <c r="AJ266" s="200"/>
      <c r="AK266" s="200"/>
      <c r="AL266" s="200"/>
      <c r="AM266" s="200"/>
      <c r="AN266" s="200"/>
      <c r="AO266" s="200"/>
      <c r="AP266" s="200"/>
      <c r="AQ266" s="200"/>
      <c r="AR266" s="200"/>
    </row>
    <row r="267" ht="15.75" customHeight="1">
      <c r="A267" s="27"/>
      <c r="K267" s="200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I267" s="200"/>
      <c r="AJ267" s="200"/>
      <c r="AK267" s="200"/>
      <c r="AL267" s="200"/>
      <c r="AM267" s="200"/>
      <c r="AN267" s="200"/>
      <c r="AO267" s="200"/>
      <c r="AP267" s="200"/>
      <c r="AQ267" s="200"/>
      <c r="AR267" s="200"/>
    </row>
    <row r="268" ht="15.75" customHeight="1">
      <c r="A268" s="27"/>
      <c r="B268" s="27"/>
      <c r="C268" s="27"/>
      <c r="D268" s="27"/>
      <c r="E268" s="27"/>
      <c r="F268" s="27"/>
      <c r="G268" s="27"/>
      <c r="H268" s="27"/>
      <c r="K268" s="200"/>
      <c r="AI268" s="200"/>
      <c r="AJ268" s="200"/>
      <c r="AK268" s="200"/>
      <c r="AL268" s="200"/>
      <c r="AM268" s="200"/>
      <c r="AN268" s="200"/>
      <c r="AO268" s="200"/>
      <c r="AP268" s="200"/>
      <c r="AQ268" s="200"/>
      <c r="AR268" s="200"/>
    </row>
    <row r="269" ht="15.75" customHeight="1">
      <c r="A269" s="27"/>
      <c r="K269" s="200"/>
      <c r="AI269" s="200"/>
      <c r="AJ269" s="200"/>
      <c r="AK269" s="200"/>
      <c r="AL269" s="200"/>
      <c r="AM269" s="200"/>
      <c r="AN269" s="200"/>
      <c r="AO269" s="200"/>
      <c r="AP269" s="200"/>
      <c r="AQ269" s="200"/>
      <c r="AR269" s="200"/>
    </row>
    <row r="270" ht="15.75" customHeight="1">
      <c r="A270" s="27"/>
      <c r="K270" s="200"/>
      <c r="AI270" s="200"/>
      <c r="AJ270" s="200"/>
      <c r="AK270" s="200"/>
      <c r="AL270" s="200"/>
      <c r="AM270" s="200"/>
      <c r="AN270" s="200"/>
      <c r="AO270" s="200"/>
      <c r="AP270" s="200"/>
      <c r="AQ270" s="200"/>
      <c r="AR270" s="200"/>
    </row>
    <row r="271" ht="15.75" customHeight="1">
      <c r="K271" s="200"/>
    </row>
    <row r="272" ht="15.75" customHeight="1">
      <c r="K272" s="200"/>
    </row>
    <row r="273" ht="15.75" customHeight="1">
      <c r="K273" s="200"/>
    </row>
    <row r="274" ht="15.75" customHeight="1">
      <c r="K274" s="200"/>
    </row>
    <row r="275" ht="15.75" customHeight="1">
      <c r="K275" s="200"/>
    </row>
    <row r="276" ht="15.75" customHeight="1">
      <c r="K276" s="200"/>
    </row>
    <row r="277" ht="15.75" customHeight="1">
      <c r="K277" s="200"/>
    </row>
    <row r="278" ht="15.75" customHeight="1">
      <c r="K278" s="200"/>
    </row>
    <row r="279" ht="15.75" customHeight="1">
      <c r="K279" s="200"/>
    </row>
    <row r="280" ht="15.75" customHeight="1">
      <c r="K280" s="200"/>
    </row>
    <row r="281" ht="15.75" customHeight="1">
      <c r="K281" s="200"/>
    </row>
    <row r="282" ht="15.75" customHeight="1">
      <c r="K282" s="200"/>
    </row>
    <row r="283" ht="15.75" customHeight="1">
      <c r="K283" s="200"/>
    </row>
    <row r="284" ht="15.75" customHeight="1">
      <c r="K284" s="200"/>
    </row>
    <row r="285" ht="15.75" customHeight="1">
      <c r="K285" s="200"/>
    </row>
    <row r="286" ht="15.75" customHeight="1">
      <c r="K286" s="200"/>
    </row>
    <row r="287" ht="15.75" customHeight="1">
      <c r="K287" s="200"/>
    </row>
    <row r="288" ht="15.75" customHeight="1">
      <c r="K288" s="200"/>
    </row>
    <row r="289" ht="15.75" customHeight="1">
      <c r="K289" s="200"/>
    </row>
    <row r="290" ht="15.75" customHeight="1">
      <c r="K290" s="200"/>
    </row>
    <row r="291" ht="15.75" customHeight="1">
      <c r="K291" s="200"/>
    </row>
    <row r="292" ht="15.75" customHeight="1">
      <c r="K292" s="200"/>
    </row>
    <row r="293" ht="15.75" customHeight="1">
      <c r="K293" s="200"/>
    </row>
    <row r="294" ht="15.75" customHeight="1">
      <c r="K294" s="200"/>
    </row>
    <row r="295" ht="15.75" customHeight="1">
      <c r="K295" s="200"/>
    </row>
    <row r="296" ht="15.75" customHeight="1">
      <c r="K296" s="200"/>
    </row>
    <row r="297" ht="15.75" customHeight="1">
      <c r="K297" s="200"/>
    </row>
    <row r="298" ht="15.75" customHeight="1">
      <c r="K298" s="200"/>
    </row>
    <row r="299" ht="15.75" customHeight="1">
      <c r="K299" s="200"/>
    </row>
    <row r="300" ht="15.75" customHeight="1">
      <c r="K300" s="200"/>
    </row>
    <row r="301" ht="15.75" customHeight="1">
      <c r="K301" s="200"/>
    </row>
    <row r="302" ht="15.75" customHeight="1">
      <c r="K302" s="200"/>
    </row>
    <row r="303" ht="15.75" customHeight="1">
      <c r="K303" s="200"/>
    </row>
    <row r="304" ht="15.75" customHeight="1">
      <c r="K304" s="200"/>
    </row>
    <row r="305" ht="15.75" customHeight="1">
      <c r="K305" s="200"/>
    </row>
    <row r="306" ht="15.75" customHeight="1">
      <c r="K306" s="200"/>
    </row>
    <row r="307" ht="15.75" customHeight="1">
      <c r="K307" s="200"/>
    </row>
    <row r="308" ht="15.75" customHeight="1">
      <c r="K308" s="200"/>
    </row>
    <row r="309" ht="15.75" customHeight="1">
      <c r="K309" s="200"/>
    </row>
    <row r="310" ht="15.75" customHeight="1">
      <c r="K310" s="200"/>
    </row>
    <row r="311" ht="15.75" customHeight="1">
      <c r="K311" s="200"/>
    </row>
    <row r="312" ht="15.75" customHeight="1">
      <c r="K312" s="200"/>
    </row>
    <row r="313" ht="15.75" customHeight="1">
      <c r="K313" s="200"/>
    </row>
    <row r="314" ht="15.75" customHeight="1">
      <c r="K314" s="200"/>
    </row>
    <row r="315" ht="15.75" customHeight="1">
      <c r="K315" s="200"/>
    </row>
    <row r="316" ht="15.75" customHeight="1">
      <c r="K316" s="200"/>
    </row>
    <row r="317" ht="15.75" customHeight="1">
      <c r="K317" s="200"/>
    </row>
    <row r="318" ht="15.75" customHeight="1">
      <c r="K318" s="200"/>
    </row>
    <row r="319" ht="15.75" customHeight="1">
      <c r="K319" s="200"/>
    </row>
    <row r="320" ht="15.75" customHeight="1">
      <c r="K320" s="200"/>
    </row>
    <row r="321" ht="15.75" customHeight="1">
      <c r="K321" s="200"/>
    </row>
    <row r="322" ht="15.75" customHeight="1">
      <c r="K322" s="200"/>
    </row>
    <row r="323" ht="15.75" customHeight="1">
      <c r="K323" s="200"/>
    </row>
    <row r="324" ht="15.75" customHeight="1">
      <c r="K324" s="200"/>
    </row>
    <row r="325" ht="15.75" customHeight="1">
      <c r="K325" s="200"/>
    </row>
    <row r="326" ht="15.75" customHeight="1">
      <c r="K326" s="200"/>
    </row>
    <row r="327" ht="15.75" customHeight="1">
      <c r="K327" s="200"/>
    </row>
    <row r="328" ht="15.75" customHeight="1">
      <c r="K328" s="200"/>
    </row>
    <row r="329" ht="15.75" customHeight="1">
      <c r="K329" s="200"/>
    </row>
    <row r="330" ht="15.75" customHeight="1">
      <c r="K330" s="200"/>
    </row>
    <row r="331" ht="15.75" customHeight="1">
      <c r="K331" s="200"/>
    </row>
    <row r="332" ht="15.75" customHeight="1">
      <c r="K332" s="200"/>
    </row>
    <row r="333" ht="15.75" customHeight="1">
      <c r="K333" s="200"/>
    </row>
    <row r="334" ht="15.75" customHeight="1">
      <c r="K334" s="200"/>
    </row>
    <row r="335" ht="15.75" customHeight="1">
      <c r="K335" s="200"/>
    </row>
    <row r="336" ht="15.75" customHeight="1">
      <c r="K336" s="200"/>
    </row>
    <row r="337" ht="15.75" customHeight="1">
      <c r="K337" s="200"/>
    </row>
    <row r="338" ht="15.75" customHeight="1">
      <c r="K338" s="200"/>
    </row>
    <row r="339" ht="15.75" customHeight="1">
      <c r="K339" s="200"/>
    </row>
    <row r="340" ht="15.75" customHeight="1">
      <c r="K340" s="200"/>
    </row>
    <row r="341" ht="15.75" customHeight="1">
      <c r="K341" s="200"/>
    </row>
    <row r="342" ht="15.75" customHeight="1">
      <c r="K342" s="200"/>
    </row>
    <row r="343" ht="15.75" customHeight="1">
      <c r="K343" s="200"/>
    </row>
    <row r="344" ht="15.75" customHeight="1">
      <c r="K344" s="200"/>
    </row>
    <row r="345" ht="15.75" customHeight="1">
      <c r="K345" s="200"/>
    </row>
    <row r="346" ht="15.75" customHeight="1">
      <c r="K346" s="200"/>
    </row>
    <row r="347" ht="15.75" customHeight="1">
      <c r="K347" s="200"/>
    </row>
    <row r="348" ht="15.75" customHeight="1">
      <c r="K348" s="200"/>
    </row>
    <row r="349" ht="15.75" customHeight="1">
      <c r="K349" s="200"/>
    </row>
    <row r="350" ht="15.75" customHeight="1">
      <c r="K350" s="200"/>
    </row>
    <row r="351" ht="15.75" customHeight="1">
      <c r="K351" s="200"/>
    </row>
    <row r="352" ht="15.75" customHeight="1">
      <c r="K352" s="200"/>
    </row>
    <row r="353" ht="15.75" customHeight="1">
      <c r="K353" s="200"/>
    </row>
    <row r="354" ht="15.75" customHeight="1">
      <c r="K354" s="200"/>
    </row>
    <row r="355" ht="15.75" customHeight="1">
      <c r="K355" s="200"/>
    </row>
    <row r="356" ht="15.75" customHeight="1">
      <c r="K356" s="200"/>
    </row>
    <row r="357" ht="15.75" customHeight="1">
      <c r="K357" s="200"/>
    </row>
    <row r="358" ht="15.75" customHeight="1">
      <c r="K358" s="200"/>
    </row>
    <row r="359" ht="15.75" customHeight="1">
      <c r="K359" s="200"/>
    </row>
    <row r="360" ht="15.75" customHeight="1">
      <c r="K360" s="200"/>
    </row>
    <row r="361" ht="15.75" customHeight="1">
      <c r="K361" s="200"/>
    </row>
    <row r="362" ht="15.75" customHeight="1">
      <c r="K362" s="200"/>
    </row>
    <row r="363" ht="15.75" customHeight="1">
      <c r="K363" s="200"/>
    </row>
    <row r="364" ht="15.75" customHeight="1">
      <c r="K364" s="200"/>
    </row>
    <row r="365" ht="15.75" customHeight="1">
      <c r="K365" s="200"/>
    </row>
    <row r="366" ht="15.75" customHeight="1">
      <c r="K366" s="200"/>
    </row>
    <row r="367" ht="15.75" customHeight="1">
      <c r="K367" s="200"/>
    </row>
    <row r="368" ht="15.75" customHeight="1">
      <c r="K368" s="200"/>
    </row>
    <row r="369" ht="15.75" customHeight="1">
      <c r="K369" s="200"/>
    </row>
    <row r="370" ht="15.75" customHeight="1">
      <c r="K370" s="200"/>
    </row>
    <row r="371" ht="15.75" customHeight="1">
      <c r="K371" s="200"/>
    </row>
    <row r="372" ht="15.75" customHeight="1">
      <c r="K372" s="200"/>
    </row>
    <row r="373" ht="15.75" customHeight="1">
      <c r="K373" s="200"/>
    </row>
    <row r="374" ht="15.75" customHeight="1">
      <c r="K374" s="200"/>
    </row>
    <row r="375" ht="15.75" customHeight="1">
      <c r="K375" s="200"/>
    </row>
    <row r="376" ht="15.75" customHeight="1">
      <c r="K376" s="200"/>
    </row>
    <row r="377" ht="15.75" customHeight="1">
      <c r="K377" s="200"/>
    </row>
    <row r="378" ht="15.75" customHeight="1">
      <c r="K378" s="200"/>
    </row>
    <row r="379" ht="15.75" customHeight="1">
      <c r="K379" s="200"/>
    </row>
    <row r="380" ht="15.75" customHeight="1">
      <c r="K380" s="200"/>
    </row>
    <row r="381" ht="15.75" customHeight="1">
      <c r="K381" s="200"/>
    </row>
    <row r="382" ht="15.75" customHeight="1">
      <c r="K382" s="200"/>
    </row>
    <row r="383" ht="15.75" customHeight="1">
      <c r="K383" s="200"/>
    </row>
    <row r="384" ht="15.75" customHeight="1">
      <c r="K384" s="200"/>
    </row>
    <row r="385" ht="15.75" customHeight="1">
      <c r="K385" s="200"/>
    </row>
    <row r="386" ht="15.75" customHeight="1">
      <c r="K386" s="200"/>
    </row>
    <row r="387" ht="15.75" customHeight="1">
      <c r="K387" s="200"/>
    </row>
    <row r="388" ht="15.75" customHeight="1">
      <c r="K388" s="200"/>
    </row>
    <row r="389" ht="15.75" customHeight="1">
      <c r="K389" s="200"/>
    </row>
    <row r="390" ht="15.75" customHeight="1">
      <c r="K390" s="200"/>
    </row>
    <row r="391" ht="15.75" customHeight="1">
      <c r="K391" s="200"/>
    </row>
    <row r="392" ht="15.75" customHeight="1">
      <c r="K392" s="200"/>
    </row>
    <row r="393" ht="15.75" customHeight="1">
      <c r="K393" s="200"/>
    </row>
    <row r="394" ht="15.75" customHeight="1">
      <c r="K394" s="200"/>
    </row>
    <row r="395" ht="15.75" customHeight="1">
      <c r="K395" s="200"/>
    </row>
    <row r="396" ht="15.75" customHeight="1">
      <c r="K396" s="200"/>
    </row>
    <row r="397" ht="15.75" customHeight="1">
      <c r="K397" s="200"/>
    </row>
    <row r="398" ht="15.75" customHeight="1">
      <c r="K398" s="200"/>
    </row>
    <row r="399" ht="15.75" customHeight="1">
      <c r="K399" s="200"/>
    </row>
    <row r="400" ht="15.75" customHeight="1">
      <c r="K400" s="200"/>
    </row>
    <row r="401" ht="15.75" customHeight="1">
      <c r="K401" s="200"/>
    </row>
    <row r="402" ht="15.75" customHeight="1">
      <c r="K402" s="200"/>
    </row>
    <row r="403" ht="15.75" customHeight="1">
      <c r="K403" s="200"/>
    </row>
    <row r="404" ht="15.75" customHeight="1">
      <c r="K404" s="200"/>
    </row>
    <row r="405" ht="15.75" customHeight="1">
      <c r="K405" s="200"/>
    </row>
    <row r="406" ht="15.75" customHeight="1">
      <c r="K406" s="200"/>
    </row>
    <row r="407" ht="15.75" customHeight="1">
      <c r="K407" s="200"/>
    </row>
    <row r="408" ht="15.75" customHeight="1">
      <c r="K408" s="200"/>
    </row>
    <row r="409" ht="15.75" customHeight="1">
      <c r="K409" s="200"/>
    </row>
    <row r="410" ht="15.75" customHeight="1">
      <c r="K410" s="200"/>
    </row>
    <row r="411" ht="15.75" customHeight="1">
      <c r="K411" s="200"/>
    </row>
    <row r="412" ht="15.75" customHeight="1">
      <c r="K412" s="200"/>
    </row>
    <row r="413" ht="15.75" customHeight="1">
      <c r="K413" s="200"/>
    </row>
    <row r="414" ht="15.75" customHeight="1">
      <c r="K414" s="200"/>
    </row>
    <row r="415" ht="15.75" customHeight="1">
      <c r="K415" s="200"/>
    </row>
    <row r="416" ht="15.75" customHeight="1">
      <c r="K416" s="200"/>
    </row>
    <row r="417" ht="15.75" customHeight="1">
      <c r="K417" s="200"/>
    </row>
    <row r="418" ht="15.75" customHeight="1">
      <c r="K418" s="200"/>
    </row>
    <row r="419" ht="15.75" customHeight="1">
      <c r="K419" s="200"/>
    </row>
    <row r="420" ht="15.75" customHeight="1">
      <c r="K420" s="200"/>
    </row>
    <row r="421" ht="15.75" customHeight="1">
      <c r="K421" s="200"/>
    </row>
    <row r="422" ht="15.75" customHeight="1">
      <c r="K422" s="200"/>
    </row>
    <row r="423" ht="15.75" customHeight="1">
      <c r="K423" s="200"/>
    </row>
    <row r="424" ht="15.75" customHeight="1">
      <c r="K424" s="200"/>
    </row>
    <row r="425" ht="15.75" customHeight="1">
      <c r="K425" s="200"/>
    </row>
    <row r="426" ht="15.75" customHeight="1">
      <c r="K426" s="200"/>
    </row>
    <row r="427" ht="15.75" customHeight="1">
      <c r="K427" s="200"/>
    </row>
    <row r="428" ht="15.75" customHeight="1">
      <c r="K428" s="200"/>
    </row>
    <row r="429" ht="15.75" customHeight="1">
      <c r="K429" s="200"/>
    </row>
    <row r="430" ht="15.75" customHeight="1">
      <c r="K430" s="200"/>
    </row>
    <row r="431" ht="15.75" customHeight="1">
      <c r="K431" s="200"/>
    </row>
    <row r="432" ht="15.75" customHeight="1">
      <c r="K432" s="200"/>
    </row>
    <row r="433" ht="15.75" customHeight="1">
      <c r="K433" s="200"/>
    </row>
    <row r="434" ht="15.75" customHeight="1">
      <c r="K434" s="200"/>
    </row>
    <row r="435" ht="15.75" customHeight="1">
      <c r="K435" s="200"/>
    </row>
    <row r="436" ht="15.75" customHeight="1">
      <c r="K436" s="200"/>
    </row>
    <row r="437" ht="15.75" customHeight="1">
      <c r="K437" s="200"/>
    </row>
    <row r="438" ht="15.75" customHeight="1">
      <c r="K438" s="200"/>
    </row>
    <row r="439" ht="15.75" customHeight="1">
      <c r="K439" s="200"/>
    </row>
    <row r="440" ht="15.75" customHeight="1">
      <c r="K440" s="200"/>
    </row>
    <row r="441" ht="15.75" customHeight="1">
      <c r="K441" s="200"/>
    </row>
    <row r="442" ht="15.75" customHeight="1">
      <c r="K442" s="200"/>
    </row>
    <row r="443" ht="15.75" customHeight="1">
      <c r="K443" s="200"/>
    </row>
    <row r="444" ht="15.75" customHeight="1">
      <c r="K444" s="200"/>
    </row>
    <row r="445" ht="15.75" customHeight="1">
      <c r="K445" s="200"/>
    </row>
    <row r="446" ht="15.75" customHeight="1">
      <c r="K446" s="200"/>
    </row>
    <row r="447" ht="15.75" customHeight="1">
      <c r="K447" s="200"/>
    </row>
    <row r="448" ht="15.75" customHeight="1">
      <c r="K448" s="200"/>
    </row>
    <row r="449" ht="15.75" customHeight="1">
      <c r="K449" s="200"/>
    </row>
    <row r="450" ht="15.75" customHeight="1">
      <c r="K450" s="200"/>
    </row>
    <row r="451" ht="15.75" customHeight="1">
      <c r="K451" s="200"/>
    </row>
    <row r="452" ht="15.75" customHeight="1">
      <c r="K452" s="200"/>
    </row>
    <row r="453" ht="15.75" customHeight="1">
      <c r="K453" s="200"/>
    </row>
    <row r="454" ht="15.75" customHeight="1">
      <c r="K454" s="200"/>
    </row>
    <row r="455" ht="15.75" customHeight="1">
      <c r="K455" s="200"/>
    </row>
    <row r="456" ht="15.75" customHeight="1">
      <c r="K456" s="200"/>
    </row>
    <row r="457" ht="15.75" customHeight="1">
      <c r="K457" s="200"/>
    </row>
    <row r="458" ht="15.75" customHeight="1">
      <c r="K458" s="200"/>
    </row>
    <row r="459" ht="15.75" customHeight="1">
      <c r="K459" s="200"/>
    </row>
    <row r="460" ht="15.75" customHeight="1">
      <c r="K460" s="200"/>
    </row>
    <row r="461" ht="15.75" customHeight="1">
      <c r="K461" s="200"/>
    </row>
    <row r="462" ht="15.75" customHeight="1">
      <c r="K462" s="200"/>
    </row>
    <row r="463" ht="15.75" customHeight="1">
      <c r="K463" s="200"/>
    </row>
    <row r="464" ht="15.75" customHeight="1">
      <c r="K464" s="200"/>
    </row>
    <row r="465" ht="15.75" customHeight="1">
      <c r="K465" s="200"/>
    </row>
    <row r="466" ht="15.75" customHeight="1">
      <c r="K466" s="200"/>
    </row>
    <row r="467" ht="15.75" customHeight="1">
      <c r="K467" s="200"/>
    </row>
    <row r="468" ht="15.75" customHeight="1">
      <c r="K468" s="200"/>
    </row>
    <row r="469" ht="15.75" customHeight="1">
      <c r="K469" s="200"/>
    </row>
    <row r="470" ht="15.75" customHeight="1">
      <c r="K470" s="200"/>
    </row>
    <row r="471" ht="15.75" customHeight="1">
      <c r="K471" s="200"/>
    </row>
    <row r="472" ht="15.75" customHeight="1">
      <c r="K472" s="200"/>
    </row>
    <row r="473" ht="15.75" customHeight="1">
      <c r="K473" s="200"/>
    </row>
    <row r="474" ht="15.75" customHeight="1">
      <c r="K474" s="200"/>
    </row>
    <row r="475" ht="15.75" customHeight="1">
      <c r="K475" s="200"/>
    </row>
    <row r="476" ht="15.75" customHeight="1">
      <c r="K476" s="200"/>
    </row>
    <row r="477" ht="15.75" customHeight="1">
      <c r="K477" s="200"/>
    </row>
    <row r="478" ht="15.75" customHeight="1">
      <c r="K478" s="200"/>
    </row>
    <row r="479" ht="15.75" customHeight="1">
      <c r="K479" s="200"/>
    </row>
    <row r="480" ht="15.75" customHeight="1">
      <c r="K480" s="200"/>
    </row>
    <row r="481" ht="15.75" customHeight="1">
      <c r="K481" s="200"/>
    </row>
    <row r="482" ht="15.75" customHeight="1">
      <c r="K482" s="200"/>
    </row>
    <row r="483" ht="15.75" customHeight="1">
      <c r="K483" s="200"/>
    </row>
    <row r="484" ht="15.75" customHeight="1">
      <c r="K484" s="200"/>
    </row>
    <row r="485" ht="15.75" customHeight="1">
      <c r="K485" s="200"/>
    </row>
    <row r="486" ht="15.75" customHeight="1">
      <c r="K486" s="200"/>
    </row>
    <row r="487" ht="15.75" customHeight="1">
      <c r="K487" s="200"/>
    </row>
    <row r="488" ht="15.75" customHeight="1">
      <c r="K488" s="200"/>
    </row>
    <row r="489" ht="15.75" customHeight="1">
      <c r="K489" s="200"/>
    </row>
    <row r="490" ht="15.75" customHeight="1">
      <c r="K490" s="200"/>
    </row>
    <row r="491" ht="15.75" customHeight="1">
      <c r="K491" s="200"/>
    </row>
    <row r="492" ht="15.75" customHeight="1">
      <c r="K492" s="200"/>
    </row>
    <row r="493" ht="15.75" customHeight="1">
      <c r="K493" s="200"/>
    </row>
    <row r="494" ht="15.75" customHeight="1">
      <c r="K494" s="200"/>
    </row>
    <row r="495" ht="15.75" customHeight="1">
      <c r="K495" s="200"/>
    </row>
    <row r="496" ht="15.75" customHeight="1">
      <c r="K496" s="200"/>
    </row>
    <row r="497" ht="15.75" customHeight="1">
      <c r="K497" s="200"/>
    </row>
    <row r="498" ht="15.75" customHeight="1">
      <c r="K498" s="200"/>
    </row>
    <row r="499" ht="15.75" customHeight="1">
      <c r="K499" s="200"/>
    </row>
    <row r="500" ht="15.75" customHeight="1">
      <c r="K500" s="200"/>
    </row>
    <row r="501" ht="15.75" customHeight="1">
      <c r="K501" s="200"/>
    </row>
    <row r="502" ht="15.75" customHeight="1">
      <c r="K502" s="200"/>
    </row>
    <row r="503" ht="15.75" customHeight="1">
      <c r="K503" s="200"/>
    </row>
    <row r="504" ht="15.75" customHeight="1">
      <c r="K504" s="200"/>
    </row>
    <row r="505" ht="15.75" customHeight="1">
      <c r="K505" s="200"/>
    </row>
    <row r="506" ht="15.75" customHeight="1">
      <c r="K506" s="200"/>
    </row>
    <row r="507" ht="15.75" customHeight="1">
      <c r="K507" s="200"/>
    </row>
    <row r="508" ht="15.75" customHeight="1">
      <c r="K508" s="200"/>
    </row>
    <row r="509" ht="15.75" customHeight="1">
      <c r="K509" s="200"/>
    </row>
    <row r="510" ht="15.75" customHeight="1">
      <c r="K510" s="200"/>
    </row>
    <row r="511" ht="15.75" customHeight="1">
      <c r="K511" s="200"/>
    </row>
    <row r="512" ht="15.75" customHeight="1">
      <c r="K512" s="200"/>
    </row>
    <row r="513" ht="15.75" customHeight="1">
      <c r="K513" s="200"/>
    </row>
    <row r="514" ht="15.75" customHeight="1">
      <c r="K514" s="200"/>
    </row>
    <row r="515" ht="15.75" customHeight="1">
      <c r="K515" s="200"/>
    </row>
    <row r="516" ht="15.75" customHeight="1">
      <c r="K516" s="200"/>
    </row>
    <row r="517" ht="15.75" customHeight="1">
      <c r="K517" s="200"/>
    </row>
    <row r="518" ht="15.75" customHeight="1">
      <c r="K518" s="200"/>
    </row>
    <row r="519" ht="15.75" customHeight="1">
      <c r="K519" s="200"/>
    </row>
    <row r="520" ht="15.75" customHeight="1">
      <c r="K520" s="200"/>
    </row>
    <row r="521" ht="15.75" customHeight="1">
      <c r="K521" s="200"/>
    </row>
    <row r="522" ht="15.75" customHeight="1">
      <c r="K522" s="200"/>
    </row>
    <row r="523" ht="15.75" customHeight="1">
      <c r="K523" s="200"/>
    </row>
    <row r="524" ht="15.75" customHeight="1">
      <c r="K524" s="200"/>
    </row>
    <row r="525" ht="15.75" customHeight="1">
      <c r="K525" s="200"/>
    </row>
    <row r="526" ht="15.75" customHeight="1">
      <c r="K526" s="200"/>
    </row>
    <row r="527" ht="15.75" customHeight="1">
      <c r="K527" s="200"/>
    </row>
    <row r="528" ht="15.75" customHeight="1">
      <c r="K528" s="200"/>
    </row>
    <row r="529" ht="15.75" customHeight="1">
      <c r="K529" s="200"/>
    </row>
    <row r="530" ht="15.75" customHeight="1">
      <c r="K530" s="200"/>
    </row>
    <row r="531" ht="15.75" customHeight="1">
      <c r="K531" s="200"/>
    </row>
    <row r="532" ht="15.75" customHeight="1">
      <c r="K532" s="200"/>
    </row>
    <row r="533" ht="15.75" customHeight="1">
      <c r="K533" s="200"/>
    </row>
    <row r="534" ht="15.75" customHeight="1">
      <c r="K534" s="200"/>
    </row>
    <row r="535" ht="15.75" customHeight="1">
      <c r="K535" s="200"/>
    </row>
    <row r="536" ht="15.75" customHeight="1">
      <c r="K536" s="200"/>
    </row>
    <row r="537" ht="15.75" customHeight="1">
      <c r="K537" s="200"/>
    </row>
    <row r="538" ht="15.75" customHeight="1">
      <c r="K538" s="200"/>
    </row>
    <row r="539" ht="15.75" customHeight="1">
      <c r="K539" s="200"/>
    </row>
    <row r="540" ht="15.75" customHeight="1">
      <c r="K540" s="200"/>
    </row>
    <row r="541" ht="15.75" customHeight="1">
      <c r="K541" s="200"/>
    </row>
    <row r="542" ht="15.75" customHeight="1">
      <c r="K542" s="200"/>
    </row>
    <row r="543" ht="15.75" customHeight="1">
      <c r="K543" s="200"/>
    </row>
    <row r="544" ht="15.75" customHeight="1">
      <c r="K544" s="200"/>
    </row>
    <row r="545" ht="15.75" customHeight="1">
      <c r="K545" s="200"/>
    </row>
    <row r="546" ht="15.75" customHeight="1">
      <c r="K546" s="200"/>
    </row>
    <row r="547" ht="15.75" customHeight="1">
      <c r="K547" s="200"/>
    </row>
    <row r="548" ht="15.75" customHeight="1">
      <c r="K548" s="200"/>
    </row>
    <row r="549" ht="15.75" customHeight="1">
      <c r="K549" s="200"/>
    </row>
    <row r="550" ht="15.75" customHeight="1">
      <c r="K550" s="200"/>
    </row>
    <row r="551" ht="15.75" customHeight="1">
      <c r="K551" s="200"/>
    </row>
    <row r="552" ht="15.75" customHeight="1">
      <c r="K552" s="200"/>
    </row>
    <row r="553" ht="15.75" customHeight="1">
      <c r="K553" s="200"/>
    </row>
    <row r="554" ht="15.75" customHeight="1">
      <c r="K554" s="200"/>
    </row>
    <row r="555" ht="15.75" customHeight="1">
      <c r="K555" s="200"/>
    </row>
    <row r="556" ht="15.75" customHeight="1">
      <c r="K556" s="200"/>
    </row>
    <row r="557" ht="15.75" customHeight="1">
      <c r="K557" s="200"/>
    </row>
    <row r="558" ht="15.75" customHeight="1">
      <c r="K558" s="200"/>
    </row>
    <row r="559" ht="15.75" customHeight="1">
      <c r="K559" s="200"/>
    </row>
    <row r="560" ht="15.75" customHeight="1">
      <c r="K560" s="200"/>
    </row>
    <row r="561" ht="15.75" customHeight="1">
      <c r="K561" s="200"/>
    </row>
    <row r="562" ht="15.75" customHeight="1">
      <c r="K562" s="200"/>
    </row>
    <row r="563" ht="15.75" customHeight="1">
      <c r="K563" s="200"/>
    </row>
    <row r="564" ht="15.75" customHeight="1">
      <c r="K564" s="200"/>
    </row>
    <row r="565" ht="15.75" customHeight="1">
      <c r="K565" s="200"/>
    </row>
    <row r="566" ht="15.75" customHeight="1">
      <c r="K566" s="200"/>
    </row>
    <row r="567" ht="15.75" customHeight="1">
      <c r="K567" s="200"/>
    </row>
    <row r="568" ht="15.75" customHeight="1">
      <c r="K568" s="200"/>
    </row>
    <row r="569" ht="15.75" customHeight="1">
      <c r="K569" s="200"/>
    </row>
    <row r="570" ht="15.75" customHeight="1">
      <c r="K570" s="200"/>
    </row>
    <row r="571" ht="15.75" customHeight="1">
      <c r="K571" s="200"/>
    </row>
    <row r="572" ht="15.75" customHeight="1">
      <c r="K572" s="200"/>
    </row>
    <row r="573" ht="15.75" customHeight="1">
      <c r="K573" s="200"/>
    </row>
    <row r="574" ht="15.75" customHeight="1">
      <c r="K574" s="200"/>
    </row>
    <row r="575" ht="15.75" customHeight="1">
      <c r="K575" s="200"/>
    </row>
    <row r="576" ht="15.75" customHeight="1">
      <c r="K576" s="200"/>
    </row>
    <row r="577" ht="15.75" customHeight="1">
      <c r="K577" s="200"/>
    </row>
    <row r="578" ht="15.75" customHeight="1">
      <c r="K578" s="200"/>
    </row>
    <row r="579" ht="15.75" customHeight="1">
      <c r="K579" s="200"/>
    </row>
    <row r="580" ht="15.75" customHeight="1">
      <c r="K580" s="200"/>
    </row>
    <row r="581" ht="15.75" customHeight="1">
      <c r="K581" s="200"/>
    </row>
    <row r="582" ht="15.75" customHeight="1">
      <c r="K582" s="200"/>
    </row>
    <row r="583" ht="15.75" customHeight="1">
      <c r="K583" s="200"/>
    </row>
    <row r="584" ht="15.75" customHeight="1">
      <c r="K584" s="200"/>
    </row>
    <row r="585" ht="15.75" customHeight="1">
      <c r="K585" s="200"/>
    </row>
    <row r="586" ht="15.75" customHeight="1">
      <c r="K586" s="200"/>
    </row>
    <row r="587" ht="15.75" customHeight="1">
      <c r="K587" s="200"/>
    </row>
    <row r="588" ht="15.75" customHeight="1">
      <c r="K588" s="200"/>
    </row>
    <row r="589" ht="15.75" customHeight="1">
      <c r="K589" s="200"/>
    </row>
    <row r="590" ht="15.75" customHeight="1">
      <c r="K590" s="200"/>
    </row>
    <row r="591" ht="15.75" customHeight="1">
      <c r="K591" s="200"/>
    </row>
    <row r="592" ht="15.75" customHeight="1">
      <c r="K592" s="200"/>
    </row>
    <row r="593" ht="15.75" customHeight="1">
      <c r="K593" s="200"/>
    </row>
    <row r="594" ht="15.75" customHeight="1">
      <c r="K594" s="200"/>
    </row>
    <row r="595" ht="15.75" customHeight="1">
      <c r="K595" s="200"/>
    </row>
    <row r="596" ht="15.75" customHeight="1">
      <c r="K596" s="200"/>
    </row>
    <row r="597" ht="15.75" customHeight="1">
      <c r="K597" s="200"/>
    </row>
    <row r="598" ht="15.75" customHeight="1">
      <c r="K598" s="200"/>
    </row>
    <row r="599" ht="15.75" customHeight="1">
      <c r="K599" s="200"/>
    </row>
    <row r="600" ht="15.75" customHeight="1">
      <c r="K600" s="200"/>
    </row>
    <row r="601" ht="15.75" customHeight="1">
      <c r="K601" s="200"/>
    </row>
    <row r="602" ht="15.75" customHeight="1">
      <c r="K602" s="200"/>
    </row>
    <row r="603" ht="15.75" customHeight="1">
      <c r="K603" s="200"/>
    </row>
    <row r="604" ht="15.75" customHeight="1">
      <c r="K604" s="200"/>
    </row>
    <row r="605" ht="15.75" customHeight="1">
      <c r="K605" s="200"/>
    </row>
    <row r="606" ht="15.75" customHeight="1">
      <c r="K606" s="200"/>
    </row>
    <row r="607" ht="15.75" customHeight="1">
      <c r="K607" s="200"/>
    </row>
    <row r="608" ht="15.75" customHeight="1">
      <c r="K608" s="200"/>
    </row>
    <row r="609" ht="15.75" customHeight="1">
      <c r="K609" s="200"/>
    </row>
    <row r="610" ht="15.75" customHeight="1">
      <c r="K610" s="200"/>
    </row>
    <row r="611" ht="15.75" customHeight="1">
      <c r="K611" s="200"/>
    </row>
    <row r="612" ht="15.75" customHeight="1">
      <c r="K612" s="200"/>
    </row>
    <row r="613" ht="15.75" customHeight="1">
      <c r="K613" s="200"/>
    </row>
    <row r="614" ht="15.75" customHeight="1">
      <c r="K614" s="200"/>
    </row>
    <row r="615" ht="15.75" customHeight="1">
      <c r="K615" s="200"/>
    </row>
    <row r="616" ht="15.75" customHeight="1">
      <c r="K616" s="200"/>
    </row>
    <row r="617" ht="15.75" customHeight="1">
      <c r="K617" s="200"/>
    </row>
    <row r="618" ht="15.75" customHeight="1">
      <c r="K618" s="200"/>
    </row>
    <row r="619" ht="15.75" customHeight="1">
      <c r="K619" s="200"/>
    </row>
    <row r="620" ht="15.75" customHeight="1">
      <c r="K620" s="200"/>
    </row>
    <row r="621" ht="15.75" customHeight="1">
      <c r="K621" s="200"/>
    </row>
    <row r="622" ht="15.75" customHeight="1">
      <c r="K622" s="200"/>
    </row>
    <row r="623" ht="15.75" customHeight="1">
      <c r="K623" s="200"/>
    </row>
    <row r="624" ht="15.75" customHeight="1">
      <c r="K624" s="200"/>
    </row>
    <row r="625" ht="15.75" customHeight="1">
      <c r="K625" s="200"/>
    </row>
    <row r="626" ht="15.75" customHeight="1">
      <c r="K626" s="200"/>
    </row>
    <row r="627" ht="15.75" customHeight="1">
      <c r="K627" s="200"/>
    </row>
    <row r="628" ht="15.75" customHeight="1">
      <c r="K628" s="200"/>
    </row>
    <row r="629" ht="15.75" customHeight="1">
      <c r="K629" s="200"/>
    </row>
    <row r="630" ht="15.75" customHeight="1">
      <c r="K630" s="200"/>
    </row>
    <row r="631" ht="15.75" customHeight="1">
      <c r="K631" s="200"/>
    </row>
    <row r="632" ht="15.75" customHeight="1">
      <c r="K632" s="200"/>
    </row>
    <row r="633" ht="15.75" customHeight="1">
      <c r="K633" s="200"/>
    </row>
    <row r="634" ht="15.75" customHeight="1">
      <c r="K634" s="200"/>
    </row>
    <row r="635" ht="15.75" customHeight="1">
      <c r="K635" s="200"/>
    </row>
    <row r="636" ht="15.75" customHeight="1">
      <c r="K636" s="200"/>
    </row>
    <row r="637" ht="15.75" customHeight="1">
      <c r="K637" s="200"/>
    </row>
    <row r="638" ht="15.75" customHeight="1">
      <c r="K638" s="200"/>
    </row>
    <row r="639" ht="15.75" customHeight="1">
      <c r="K639" s="200"/>
    </row>
    <row r="640" ht="15.75" customHeight="1">
      <c r="K640" s="200"/>
    </row>
    <row r="641" ht="15.75" customHeight="1">
      <c r="K641" s="200"/>
    </row>
    <row r="642" ht="15.75" customHeight="1">
      <c r="K642" s="200"/>
    </row>
    <row r="643" ht="15.75" customHeight="1">
      <c r="K643" s="200"/>
    </row>
    <row r="644" ht="15.75" customHeight="1">
      <c r="K644" s="200"/>
    </row>
    <row r="645" ht="15.75" customHeight="1">
      <c r="K645" s="200"/>
    </row>
    <row r="646" ht="15.75" customHeight="1">
      <c r="K646" s="200"/>
    </row>
    <row r="647" ht="15.75" customHeight="1">
      <c r="K647" s="200"/>
    </row>
    <row r="648" ht="15.75" customHeight="1">
      <c r="K648" s="200"/>
    </row>
    <row r="649" ht="15.75" customHeight="1">
      <c r="K649" s="200"/>
    </row>
    <row r="650" ht="15.75" customHeight="1">
      <c r="K650" s="200"/>
    </row>
    <row r="651" ht="15.75" customHeight="1">
      <c r="K651" s="200"/>
    </row>
    <row r="652" ht="15.75" customHeight="1">
      <c r="K652" s="200"/>
    </row>
    <row r="653" ht="15.75" customHeight="1">
      <c r="K653" s="200"/>
    </row>
    <row r="654" ht="15.75" customHeight="1">
      <c r="K654" s="200"/>
    </row>
    <row r="655" ht="15.75" customHeight="1">
      <c r="K655" s="200"/>
    </row>
    <row r="656" ht="15.75" customHeight="1">
      <c r="K656" s="200"/>
    </row>
    <row r="657" ht="15.75" customHeight="1">
      <c r="K657" s="200"/>
    </row>
    <row r="658" ht="15.75" customHeight="1">
      <c r="K658" s="200"/>
    </row>
    <row r="659" ht="15.75" customHeight="1">
      <c r="K659" s="200"/>
    </row>
    <row r="660" ht="15.75" customHeight="1">
      <c r="K660" s="200"/>
    </row>
    <row r="661" ht="15.75" customHeight="1">
      <c r="K661" s="200"/>
    </row>
    <row r="662" ht="15.75" customHeight="1">
      <c r="K662" s="200"/>
    </row>
    <row r="663" ht="15.75" customHeight="1">
      <c r="K663" s="200"/>
    </row>
    <row r="664" ht="15.75" customHeight="1">
      <c r="K664" s="200"/>
    </row>
    <row r="665" ht="15.75" customHeight="1">
      <c r="K665" s="200"/>
    </row>
    <row r="666" ht="15.75" customHeight="1">
      <c r="K666" s="200"/>
    </row>
    <row r="667" ht="15.75" customHeight="1">
      <c r="K667" s="200"/>
    </row>
    <row r="668" ht="15.75" customHeight="1">
      <c r="K668" s="200"/>
    </row>
    <row r="669" ht="15.75" customHeight="1">
      <c r="K669" s="200"/>
    </row>
    <row r="670" ht="15.75" customHeight="1">
      <c r="K670" s="200"/>
    </row>
    <row r="671" ht="15.75" customHeight="1">
      <c r="K671" s="200"/>
    </row>
    <row r="672" ht="15.75" customHeight="1">
      <c r="K672" s="200"/>
    </row>
    <row r="673" ht="15.75" customHeight="1">
      <c r="K673" s="200"/>
    </row>
    <row r="674" ht="15.75" customHeight="1">
      <c r="K674" s="200"/>
    </row>
    <row r="675" ht="15.75" customHeight="1">
      <c r="K675" s="200"/>
    </row>
    <row r="676" ht="15.75" customHeight="1">
      <c r="K676" s="200"/>
    </row>
    <row r="677" ht="15.75" customHeight="1">
      <c r="K677" s="200"/>
    </row>
    <row r="678" ht="15.75" customHeight="1">
      <c r="K678" s="200"/>
    </row>
    <row r="679" ht="15.75" customHeight="1">
      <c r="K679" s="200"/>
    </row>
    <row r="680" ht="15.75" customHeight="1">
      <c r="K680" s="200"/>
    </row>
    <row r="681" ht="15.75" customHeight="1">
      <c r="K681" s="200"/>
    </row>
    <row r="682" ht="15.75" customHeight="1">
      <c r="K682" s="200"/>
    </row>
    <row r="683" ht="15.75" customHeight="1">
      <c r="K683" s="200"/>
    </row>
    <row r="684" ht="15.75" customHeight="1">
      <c r="K684" s="200"/>
    </row>
    <row r="685" ht="15.75" customHeight="1">
      <c r="K685" s="200"/>
    </row>
    <row r="686" ht="15.75" customHeight="1">
      <c r="K686" s="200"/>
    </row>
    <row r="687" ht="15.75" customHeight="1">
      <c r="K687" s="200"/>
    </row>
    <row r="688" ht="15.75" customHeight="1">
      <c r="K688" s="200"/>
    </row>
    <row r="689" ht="15.75" customHeight="1">
      <c r="K689" s="200"/>
    </row>
    <row r="690" ht="15.75" customHeight="1">
      <c r="K690" s="200"/>
    </row>
    <row r="691" ht="15.75" customHeight="1">
      <c r="K691" s="200"/>
    </row>
    <row r="692" ht="15.75" customHeight="1">
      <c r="K692" s="200"/>
    </row>
    <row r="693" ht="15.75" customHeight="1">
      <c r="K693" s="200"/>
    </row>
    <row r="694" ht="15.75" customHeight="1">
      <c r="K694" s="200"/>
    </row>
    <row r="695" ht="15.75" customHeight="1">
      <c r="K695" s="200"/>
    </row>
    <row r="696" ht="15.75" customHeight="1">
      <c r="K696" s="200"/>
    </row>
    <row r="697" ht="15.75" customHeight="1">
      <c r="K697" s="200"/>
    </row>
    <row r="698" ht="15.75" customHeight="1">
      <c r="K698" s="200"/>
    </row>
    <row r="699" ht="15.75" customHeight="1">
      <c r="K699" s="200"/>
    </row>
    <row r="700" ht="15.75" customHeight="1">
      <c r="K700" s="200"/>
    </row>
    <row r="701" ht="15.75" customHeight="1">
      <c r="K701" s="200"/>
    </row>
    <row r="702" ht="15.75" customHeight="1">
      <c r="K702" s="200"/>
    </row>
    <row r="703" ht="15.75" customHeight="1">
      <c r="K703" s="200"/>
    </row>
    <row r="704" ht="15.75" customHeight="1">
      <c r="K704" s="200"/>
    </row>
    <row r="705" ht="15.75" customHeight="1">
      <c r="K705" s="200"/>
    </row>
    <row r="706" ht="15.75" customHeight="1">
      <c r="K706" s="200"/>
    </row>
    <row r="707" ht="15.75" customHeight="1">
      <c r="K707" s="200"/>
    </row>
    <row r="708" ht="15.75" customHeight="1">
      <c r="K708" s="200"/>
    </row>
    <row r="709" ht="15.75" customHeight="1">
      <c r="K709" s="200"/>
    </row>
    <row r="710" ht="15.75" customHeight="1">
      <c r="K710" s="200"/>
    </row>
    <row r="711" ht="15.75" customHeight="1">
      <c r="K711" s="200"/>
    </row>
    <row r="712" ht="15.75" customHeight="1">
      <c r="K712" s="200"/>
    </row>
    <row r="713" ht="15.75" customHeight="1">
      <c r="K713" s="200"/>
    </row>
    <row r="714" ht="15.75" customHeight="1">
      <c r="K714" s="200"/>
    </row>
    <row r="715" ht="15.75" customHeight="1">
      <c r="K715" s="200"/>
    </row>
    <row r="716" ht="15.75" customHeight="1">
      <c r="K716" s="200"/>
    </row>
    <row r="717" ht="15.75" customHeight="1">
      <c r="K717" s="200"/>
    </row>
    <row r="718" ht="15.75" customHeight="1">
      <c r="K718" s="200"/>
    </row>
    <row r="719" ht="15.75" customHeight="1">
      <c r="K719" s="200"/>
    </row>
    <row r="720" ht="15.75" customHeight="1">
      <c r="K720" s="200"/>
    </row>
    <row r="721" ht="15.75" customHeight="1">
      <c r="K721" s="200"/>
    </row>
    <row r="722" ht="15.75" customHeight="1">
      <c r="K722" s="200"/>
    </row>
    <row r="723" ht="15.75" customHeight="1">
      <c r="K723" s="200"/>
    </row>
    <row r="724" ht="15.75" customHeight="1">
      <c r="K724" s="200"/>
    </row>
    <row r="725" ht="15.75" customHeight="1">
      <c r="K725" s="200"/>
    </row>
    <row r="726" ht="15.75" customHeight="1">
      <c r="K726" s="200"/>
    </row>
    <row r="727" ht="15.75" customHeight="1">
      <c r="K727" s="200"/>
    </row>
    <row r="728" ht="15.75" customHeight="1">
      <c r="K728" s="200"/>
    </row>
    <row r="729" ht="15.75" customHeight="1">
      <c r="K729" s="200"/>
    </row>
    <row r="730" ht="15.75" customHeight="1">
      <c r="K730" s="200"/>
    </row>
    <row r="731" ht="15.75" customHeight="1">
      <c r="K731" s="200"/>
    </row>
    <row r="732" ht="15.75" customHeight="1">
      <c r="K732" s="200"/>
    </row>
    <row r="733" ht="15.75" customHeight="1">
      <c r="K733" s="200"/>
    </row>
    <row r="734" ht="15.75" customHeight="1">
      <c r="K734" s="200"/>
    </row>
    <row r="735" ht="15.75" customHeight="1">
      <c r="K735" s="200"/>
    </row>
    <row r="736" ht="15.75" customHeight="1">
      <c r="K736" s="200"/>
    </row>
    <row r="737" ht="15.75" customHeight="1">
      <c r="K737" s="200"/>
    </row>
    <row r="738" ht="15.75" customHeight="1">
      <c r="K738" s="200"/>
    </row>
    <row r="739" ht="15.75" customHeight="1">
      <c r="K739" s="200"/>
    </row>
    <row r="740" ht="15.75" customHeight="1">
      <c r="K740" s="200"/>
    </row>
    <row r="741" ht="15.75" customHeight="1">
      <c r="K741" s="200"/>
    </row>
    <row r="742" ht="15.75" customHeight="1">
      <c r="K742" s="200"/>
    </row>
    <row r="743" ht="15.75" customHeight="1">
      <c r="K743" s="200"/>
    </row>
    <row r="744" ht="15.75" customHeight="1">
      <c r="K744" s="200"/>
    </row>
    <row r="745" ht="15.75" customHeight="1">
      <c r="K745" s="200"/>
    </row>
    <row r="746" ht="15.75" customHeight="1">
      <c r="K746" s="200"/>
    </row>
    <row r="747" ht="15.75" customHeight="1">
      <c r="K747" s="200"/>
    </row>
    <row r="748" ht="15.75" customHeight="1">
      <c r="K748" s="200"/>
    </row>
    <row r="749" ht="15.75" customHeight="1">
      <c r="K749" s="200"/>
    </row>
    <row r="750" ht="15.75" customHeight="1">
      <c r="K750" s="200"/>
    </row>
    <row r="751" ht="15.75" customHeight="1">
      <c r="K751" s="200"/>
    </row>
    <row r="752" ht="15.75" customHeight="1">
      <c r="K752" s="200"/>
    </row>
    <row r="753" ht="15.75" customHeight="1">
      <c r="K753" s="200"/>
    </row>
    <row r="754" ht="15.75" customHeight="1">
      <c r="K754" s="200"/>
    </row>
    <row r="755" ht="15.75" customHeight="1">
      <c r="K755" s="200"/>
    </row>
    <row r="756" ht="15.75" customHeight="1">
      <c r="K756" s="200"/>
    </row>
    <row r="757" ht="15.75" customHeight="1">
      <c r="K757" s="200"/>
    </row>
    <row r="758" ht="15.75" customHeight="1">
      <c r="K758" s="200"/>
    </row>
    <row r="759" ht="15.75" customHeight="1">
      <c r="K759" s="200"/>
    </row>
    <row r="760" ht="15.75" customHeight="1">
      <c r="K760" s="200"/>
    </row>
    <row r="761" ht="15.75" customHeight="1">
      <c r="K761" s="200"/>
    </row>
    <row r="762" ht="15.75" customHeight="1">
      <c r="K762" s="200"/>
    </row>
    <row r="763" ht="15.75" customHeight="1">
      <c r="K763" s="200"/>
    </row>
    <row r="764" ht="15.75" customHeight="1">
      <c r="K764" s="200"/>
    </row>
    <row r="765" ht="15.75" customHeight="1">
      <c r="K765" s="200"/>
    </row>
    <row r="766" ht="15.75" customHeight="1">
      <c r="K766" s="200"/>
    </row>
    <row r="767" ht="15.75" customHeight="1">
      <c r="K767" s="200"/>
    </row>
    <row r="768" ht="15.75" customHeight="1">
      <c r="K768" s="200"/>
    </row>
    <row r="769" ht="15.75" customHeight="1">
      <c r="K769" s="200"/>
    </row>
    <row r="770" ht="15.75" customHeight="1">
      <c r="K770" s="200"/>
    </row>
    <row r="771" ht="15.75" customHeight="1">
      <c r="K771" s="200"/>
    </row>
    <row r="772" ht="15.75" customHeight="1">
      <c r="K772" s="200"/>
    </row>
    <row r="773" ht="15.75" customHeight="1">
      <c r="K773" s="200"/>
    </row>
    <row r="774" ht="15.75" customHeight="1">
      <c r="K774" s="200"/>
    </row>
    <row r="775" ht="15.75" customHeight="1">
      <c r="K775" s="200"/>
    </row>
    <row r="776" ht="15.75" customHeight="1">
      <c r="K776" s="200"/>
    </row>
    <row r="777" ht="15.75" customHeight="1">
      <c r="K777" s="200"/>
    </row>
    <row r="778" ht="15.75" customHeight="1">
      <c r="K778" s="200"/>
    </row>
    <row r="779" ht="15.75" customHeight="1">
      <c r="K779" s="200"/>
    </row>
    <row r="780" ht="15.75" customHeight="1">
      <c r="K780" s="200"/>
    </row>
    <row r="781" ht="15.75" customHeight="1">
      <c r="K781" s="200"/>
    </row>
    <row r="782" ht="15.75" customHeight="1">
      <c r="K782" s="200"/>
    </row>
    <row r="783" ht="15.75" customHeight="1">
      <c r="K783" s="200"/>
    </row>
    <row r="784" ht="15.75" customHeight="1">
      <c r="K784" s="200"/>
    </row>
    <row r="785" ht="15.75" customHeight="1">
      <c r="K785" s="200"/>
    </row>
    <row r="786" ht="15.75" customHeight="1">
      <c r="K786" s="200"/>
    </row>
    <row r="787" ht="15.75" customHeight="1">
      <c r="K787" s="200"/>
    </row>
    <row r="788" ht="15.75" customHeight="1">
      <c r="K788" s="200"/>
    </row>
    <row r="789" ht="15.75" customHeight="1">
      <c r="K789" s="200"/>
    </row>
    <row r="790" ht="15.75" customHeight="1">
      <c r="K790" s="200"/>
    </row>
    <row r="791" ht="15.75" customHeight="1">
      <c r="K791" s="200"/>
    </row>
    <row r="792" ht="15.75" customHeight="1">
      <c r="K792" s="200"/>
    </row>
    <row r="793" ht="15.75" customHeight="1">
      <c r="K793" s="200"/>
    </row>
    <row r="794" ht="15.75" customHeight="1">
      <c r="K794" s="200"/>
    </row>
    <row r="795" ht="15.75" customHeight="1">
      <c r="K795" s="200"/>
    </row>
    <row r="796" ht="15.75" customHeight="1">
      <c r="K796" s="200"/>
    </row>
    <row r="797" ht="15.75" customHeight="1">
      <c r="K797" s="200"/>
    </row>
    <row r="798" ht="15.75" customHeight="1">
      <c r="K798" s="200"/>
    </row>
    <row r="799" ht="15.75" customHeight="1">
      <c r="K799" s="200"/>
    </row>
    <row r="800" ht="15.75" customHeight="1">
      <c r="K800" s="200"/>
    </row>
    <row r="801" ht="15.75" customHeight="1">
      <c r="K801" s="200"/>
    </row>
    <row r="802" ht="15.75" customHeight="1">
      <c r="K802" s="200"/>
    </row>
    <row r="803" ht="15.75" customHeight="1">
      <c r="K803" s="200"/>
    </row>
    <row r="804" ht="15.75" customHeight="1">
      <c r="K804" s="200"/>
    </row>
    <row r="805" ht="15.75" customHeight="1">
      <c r="K805" s="200"/>
    </row>
    <row r="806" ht="15.75" customHeight="1">
      <c r="K806" s="200"/>
    </row>
    <row r="807" ht="15.75" customHeight="1">
      <c r="K807" s="200"/>
    </row>
    <row r="808" ht="15.75" customHeight="1">
      <c r="K808" s="200"/>
    </row>
    <row r="809" ht="15.75" customHeight="1">
      <c r="K809" s="200"/>
    </row>
    <row r="810" ht="15.75" customHeight="1">
      <c r="K810" s="200"/>
    </row>
    <row r="811" ht="15.75" customHeight="1">
      <c r="K811" s="200"/>
    </row>
    <row r="812" ht="15.75" customHeight="1">
      <c r="K812" s="200"/>
    </row>
    <row r="813" ht="15.75" customHeight="1">
      <c r="K813" s="200"/>
    </row>
    <row r="814" ht="15.75" customHeight="1">
      <c r="K814" s="200"/>
    </row>
    <row r="815" ht="15.75" customHeight="1">
      <c r="K815" s="200"/>
    </row>
    <row r="816" ht="15.75" customHeight="1">
      <c r="K816" s="200"/>
    </row>
    <row r="817" ht="15.75" customHeight="1">
      <c r="K817" s="200"/>
    </row>
    <row r="818" ht="15.75" customHeight="1">
      <c r="K818" s="200"/>
    </row>
    <row r="819" ht="15.75" customHeight="1">
      <c r="K819" s="200"/>
    </row>
    <row r="820" ht="15.75" customHeight="1">
      <c r="K820" s="200"/>
    </row>
    <row r="821" ht="15.75" customHeight="1">
      <c r="K821" s="200"/>
    </row>
    <row r="822" ht="15.75" customHeight="1">
      <c r="K822" s="200"/>
    </row>
    <row r="823" ht="15.75" customHeight="1">
      <c r="K823" s="200"/>
    </row>
    <row r="824" ht="15.75" customHeight="1">
      <c r="K824" s="200"/>
    </row>
    <row r="825" ht="15.75" customHeight="1">
      <c r="K825" s="200"/>
    </row>
    <row r="826" ht="15.75" customHeight="1">
      <c r="K826" s="200"/>
    </row>
    <row r="827" ht="15.75" customHeight="1">
      <c r="K827" s="200"/>
    </row>
    <row r="828" ht="15.75" customHeight="1">
      <c r="K828" s="200"/>
    </row>
    <row r="829" ht="15.75" customHeight="1">
      <c r="K829" s="200"/>
    </row>
    <row r="830" ht="15.75" customHeight="1">
      <c r="K830" s="200"/>
    </row>
    <row r="831" ht="15.75" customHeight="1">
      <c r="K831" s="200"/>
    </row>
    <row r="832" ht="15.75" customHeight="1">
      <c r="K832" s="200"/>
    </row>
    <row r="833" ht="15.75" customHeight="1">
      <c r="K833" s="200"/>
    </row>
    <row r="834" ht="15.75" customHeight="1">
      <c r="K834" s="200"/>
    </row>
    <row r="835" ht="15.75" customHeight="1">
      <c r="K835" s="200"/>
    </row>
    <row r="836" ht="15.75" customHeight="1">
      <c r="K836" s="200"/>
    </row>
    <row r="837" ht="15.75" customHeight="1">
      <c r="K837" s="200"/>
    </row>
    <row r="838" ht="15.75" customHeight="1">
      <c r="K838" s="200"/>
    </row>
    <row r="839" ht="15.75" customHeight="1">
      <c r="K839" s="200"/>
    </row>
    <row r="840" ht="15.75" customHeight="1">
      <c r="K840" s="200"/>
    </row>
    <row r="841" ht="15.75" customHeight="1">
      <c r="K841" s="200"/>
    </row>
    <row r="842" ht="15.75" customHeight="1">
      <c r="K842" s="200"/>
    </row>
    <row r="843" ht="15.75" customHeight="1">
      <c r="K843" s="200"/>
    </row>
    <row r="844" ht="15.75" customHeight="1">
      <c r="K844" s="200"/>
    </row>
    <row r="845" ht="15.75" customHeight="1">
      <c r="K845" s="200"/>
    </row>
    <row r="846" ht="15.75" customHeight="1">
      <c r="K846" s="200"/>
    </row>
    <row r="847" ht="15.75" customHeight="1">
      <c r="K847" s="200"/>
    </row>
    <row r="848" ht="15.75" customHeight="1">
      <c r="K848" s="200"/>
    </row>
    <row r="849" ht="15.75" customHeight="1">
      <c r="K849" s="200"/>
    </row>
    <row r="850" ht="15.75" customHeight="1">
      <c r="K850" s="200"/>
    </row>
    <row r="851" ht="15.75" customHeight="1">
      <c r="K851" s="200"/>
    </row>
    <row r="852" ht="15.75" customHeight="1">
      <c r="K852" s="200"/>
    </row>
    <row r="853" ht="15.75" customHeight="1">
      <c r="K853" s="200"/>
    </row>
    <row r="854" ht="15.75" customHeight="1">
      <c r="K854" s="200"/>
    </row>
    <row r="855" ht="15.75" customHeight="1">
      <c r="K855" s="200"/>
    </row>
    <row r="856" ht="15.75" customHeight="1">
      <c r="K856" s="200"/>
    </row>
    <row r="857" ht="15.75" customHeight="1">
      <c r="K857" s="200"/>
    </row>
    <row r="858" ht="15.75" customHeight="1">
      <c r="K858" s="200"/>
    </row>
    <row r="859" ht="15.75" customHeight="1">
      <c r="K859" s="200"/>
    </row>
    <row r="860" ht="15.75" customHeight="1">
      <c r="K860" s="200"/>
    </row>
    <row r="861" ht="15.75" customHeight="1">
      <c r="K861" s="200"/>
    </row>
    <row r="862" ht="15.75" customHeight="1">
      <c r="K862" s="200"/>
    </row>
    <row r="863" ht="15.75" customHeight="1">
      <c r="K863" s="200"/>
    </row>
    <row r="864" ht="15.75" customHeight="1">
      <c r="K864" s="200"/>
    </row>
    <row r="865" ht="15.75" customHeight="1">
      <c r="K865" s="200"/>
    </row>
    <row r="866" ht="15.75" customHeight="1">
      <c r="K866" s="200"/>
    </row>
    <row r="867" ht="15.75" customHeight="1">
      <c r="K867" s="200"/>
    </row>
    <row r="868" ht="15.75" customHeight="1">
      <c r="K868" s="200"/>
    </row>
    <row r="869" ht="15.75" customHeight="1">
      <c r="K869" s="200"/>
    </row>
    <row r="870" ht="15.75" customHeight="1">
      <c r="K870" s="200"/>
    </row>
    <row r="871" ht="15.75" customHeight="1">
      <c r="K871" s="200"/>
    </row>
    <row r="872" ht="15.75" customHeight="1">
      <c r="K872" s="200"/>
    </row>
    <row r="873" ht="15.75" customHeight="1">
      <c r="K873" s="200"/>
    </row>
    <row r="874" ht="15.75" customHeight="1">
      <c r="K874" s="200"/>
    </row>
    <row r="875" ht="15.75" customHeight="1">
      <c r="K875" s="200"/>
    </row>
    <row r="876" ht="15.75" customHeight="1">
      <c r="K876" s="200"/>
    </row>
    <row r="877" ht="15.75" customHeight="1">
      <c r="K877" s="200"/>
    </row>
    <row r="878" ht="15.75" customHeight="1">
      <c r="K878" s="200"/>
    </row>
    <row r="879" ht="15.75" customHeight="1">
      <c r="K879" s="200"/>
    </row>
    <row r="880" ht="15.75" customHeight="1">
      <c r="K880" s="200"/>
    </row>
    <row r="881" ht="15.75" customHeight="1">
      <c r="K881" s="200"/>
    </row>
    <row r="882" ht="15.75" customHeight="1">
      <c r="K882" s="200"/>
    </row>
    <row r="883" ht="15.75" customHeight="1">
      <c r="K883" s="200"/>
    </row>
    <row r="884" ht="15.75" customHeight="1">
      <c r="K884" s="200"/>
    </row>
    <row r="885" ht="15.75" customHeight="1">
      <c r="K885" s="200"/>
    </row>
    <row r="886" ht="15.75" customHeight="1">
      <c r="K886" s="200"/>
    </row>
    <row r="887" ht="15.75" customHeight="1">
      <c r="K887" s="200"/>
    </row>
    <row r="888" ht="15.75" customHeight="1">
      <c r="K888" s="200"/>
    </row>
    <row r="889" ht="15.75" customHeight="1">
      <c r="K889" s="200"/>
    </row>
    <row r="890" ht="15.75" customHeight="1">
      <c r="K890" s="200"/>
    </row>
    <row r="891" ht="15.75" customHeight="1">
      <c r="K891" s="200"/>
    </row>
    <row r="892" ht="15.75" customHeight="1">
      <c r="K892" s="200"/>
    </row>
    <row r="893" ht="15.75" customHeight="1">
      <c r="K893" s="200"/>
    </row>
    <row r="894" ht="15.75" customHeight="1">
      <c r="K894" s="200"/>
    </row>
    <row r="895" ht="15.75" customHeight="1">
      <c r="K895" s="200"/>
    </row>
    <row r="896" ht="15.75" customHeight="1">
      <c r="K896" s="200"/>
    </row>
    <row r="897" ht="15.75" customHeight="1">
      <c r="K897" s="200"/>
    </row>
    <row r="898" ht="15.75" customHeight="1">
      <c r="K898" s="200"/>
    </row>
    <row r="899" ht="15.75" customHeight="1">
      <c r="K899" s="200"/>
    </row>
    <row r="900" ht="15.75" customHeight="1">
      <c r="K900" s="200"/>
    </row>
    <row r="901" ht="15.75" customHeight="1">
      <c r="K901" s="200"/>
    </row>
    <row r="902" ht="15.75" customHeight="1">
      <c r="K902" s="200"/>
    </row>
    <row r="903" ht="15.75" customHeight="1">
      <c r="K903" s="200"/>
    </row>
    <row r="904" ht="15.75" customHeight="1">
      <c r="K904" s="200"/>
    </row>
    <row r="905" ht="15.75" customHeight="1">
      <c r="K905" s="200"/>
    </row>
    <row r="906" ht="15.75" customHeight="1">
      <c r="K906" s="200"/>
    </row>
    <row r="907" ht="15.75" customHeight="1">
      <c r="K907" s="200"/>
    </row>
    <row r="908" ht="15.75" customHeight="1">
      <c r="K908" s="200"/>
    </row>
    <row r="909" ht="15.75" customHeight="1">
      <c r="K909" s="200"/>
    </row>
    <row r="910" ht="15.75" customHeight="1">
      <c r="K910" s="200"/>
    </row>
    <row r="911" ht="15.75" customHeight="1">
      <c r="K911" s="200"/>
    </row>
    <row r="912" ht="15.75" customHeight="1">
      <c r="K912" s="200"/>
    </row>
    <row r="913" ht="15.75" customHeight="1">
      <c r="K913" s="200"/>
    </row>
    <row r="914" ht="15.75" customHeight="1">
      <c r="K914" s="200"/>
    </row>
    <row r="915" ht="15.75" customHeight="1">
      <c r="K915" s="200"/>
    </row>
    <row r="916" ht="15.75" customHeight="1">
      <c r="K916" s="200"/>
    </row>
    <row r="917" ht="15.75" customHeight="1">
      <c r="K917" s="200"/>
    </row>
    <row r="918" ht="15.75" customHeight="1">
      <c r="K918" s="200"/>
    </row>
    <row r="919" ht="15.75" customHeight="1">
      <c r="K919" s="200"/>
    </row>
    <row r="920" ht="15.75" customHeight="1">
      <c r="K920" s="200"/>
    </row>
    <row r="921" ht="15.75" customHeight="1">
      <c r="K921" s="200"/>
    </row>
    <row r="922" ht="15.75" customHeight="1">
      <c r="K922" s="200"/>
    </row>
    <row r="923" ht="15.75" customHeight="1">
      <c r="K923" s="200"/>
    </row>
    <row r="924" ht="15.75" customHeight="1">
      <c r="K924" s="200"/>
    </row>
    <row r="925" ht="15.75" customHeight="1">
      <c r="K925" s="200"/>
    </row>
    <row r="926" ht="15.75" customHeight="1">
      <c r="K926" s="200"/>
    </row>
    <row r="927" ht="15.75" customHeight="1">
      <c r="K927" s="200"/>
    </row>
    <row r="928" ht="15.75" customHeight="1">
      <c r="K928" s="200"/>
    </row>
    <row r="929" ht="15.75" customHeight="1">
      <c r="K929" s="200"/>
    </row>
    <row r="930" ht="15.75" customHeight="1">
      <c r="K930" s="200"/>
    </row>
    <row r="931" ht="15.75" customHeight="1">
      <c r="K931" s="200"/>
    </row>
    <row r="932" ht="15.75" customHeight="1">
      <c r="K932" s="200"/>
    </row>
    <row r="933" ht="15.75" customHeight="1">
      <c r="K933" s="200"/>
    </row>
    <row r="934" ht="15.75" customHeight="1">
      <c r="K934" s="200"/>
    </row>
    <row r="935" ht="15.75" customHeight="1">
      <c r="K935" s="200"/>
    </row>
    <row r="936" ht="15.75" customHeight="1">
      <c r="K936" s="200"/>
    </row>
    <row r="937" ht="15.75" customHeight="1">
      <c r="K937" s="200"/>
    </row>
    <row r="938" ht="15.75" customHeight="1">
      <c r="K938" s="200"/>
    </row>
    <row r="939" ht="15.75" customHeight="1">
      <c r="K939" s="200"/>
    </row>
    <row r="940" ht="15.75" customHeight="1">
      <c r="K940" s="200"/>
    </row>
    <row r="941" ht="15.75" customHeight="1">
      <c r="K941" s="200"/>
    </row>
    <row r="942" ht="15.75" customHeight="1">
      <c r="K942" s="200"/>
    </row>
    <row r="943" ht="15.75" customHeight="1">
      <c r="K943" s="200"/>
    </row>
    <row r="944" ht="15.75" customHeight="1">
      <c r="K944" s="200"/>
    </row>
    <row r="945" ht="15.75" customHeight="1">
      <c r="K945" s="200"/>
    </row>
    <row r="946" ht="15.75" customHeight="1">
      <c r="K946" s="200"/>
    </row>
    <row r="947" ht="15.75" customHeight="1">
      <c r="K947" s="200"/>
    </row>
    <row r="948" ht="15.75" customHeight="1">
      <c r="K948" s="200"/>
    </row>
    <row r="949" ht="15.75" customHeight="1">
      <c r="K949" s="200"/>
    </row>
    <row r="950" ht="15.75" customHeight="1">
      <c r="K950" s="200"/>
    </row>
    <row r="951" ht="15.75" customHeight="1">
      <c r="K951" s="200"/>
    </row>
    <row r="952" ht="15.75" customHeight="1">
      <c r="K952" s="200"/>
    </row>
    <row r="953" ht="15.75" customHeight="1">
      <c r="K953" s="200"/>
    </row>
    <row r="954" ht="15.75" customHeight="1">
      <c r="K954" s="200"/>
    </row>
    <row r="955" ht="15.75" customHeight="1">
      <c r="K955" s="200"/>
    </row>
    <row r="956" ht="15.75" customHeight="1">
      <c r="K956" s="200"/>
    </row>
    <row r="957" ht="15.75" customHeight="1">
      <c r="K957" s="200"/>
    </row>
    <row r="958" ht="15.75" customHeight="1">
      <c r="K958" s="200"/>
    </row>
    <row r="959" ht="15.75" customHeight="1">
      <c r="K959" s="200"/>
    </row>
    <row r="960" ht="15.75" customHeight="1">
      <c r="K960" s="200"/>
    </row>
    <row r="961" ht="15.75" customHeight="1">
      <c r="K961" s="200"/>
    </row>
    <row r="962" ht="15.75" customHeight="1">
      <c r="K962" s="200"/>
    </row>
    <row r="963" ht="15.75" customHeight="1">
      <c r="K963" s="200"/>
    </row>
    <row r="964" ht="15.75" customHeight="1">
      <c r="K964" s="200"/>
    </row>
    <row r="965" ht="15.75" customHeight="1">
      <c r="K965" s="200"/>
    </row>
    <row r="966" ht="15.75" customHeight="1">
      <c r="K966" s="200"/>
    </row>
    <row r="967" ht="15.75" customHeight="1">
      <c r="K967" s="200"/>
    </row>
    <row r="968" ht="15.75" customHeight="1">
      <c r="K968" s="200"/>
    </row>
    <row r="969" ht="15.75" customHeight="1">
      <c r="K969" s="200"/>
    </row>
    <row r="970" ht="15.75" customHeight="1">
      <c r="K970" s="200"/>
    </row>
    <row r="971" ht="15.75" customHeight="1">
      <c r="K971" s="200"/>
    </row>
    <row r="972" ht="15.75" customHeight="1">
      <c r="K972" s="200"/>
    </row>
    <row r="973" ht="15.75" customHeight="1">
      <c r="K973" s="200"/>
    </row>
    <row r="974" ht="15.75" customHeight="1">
      <c r="K974" s="200"/>
    </row>
    <row r="975" ht="15.75" customHeight="1">
      <c r="K975" s="200"/>
    </row>
    <row r="976" ht="15.75" customHeight="1">
      <c r="K976" s="200"/>
    </row>
    <row r="977" ht="15.75" customHeight="1">
      <c r="K977" s="200"/>
    </row>
    <row r="978" ht="15.75" customHeight="1">
      <c r="K978" s="200"/>
    </row>
    <row r="979" ht="15.75" customHeight="1">
      <c r="K979" s="200"/>
    </row>
    <row r="980" ht="15.75" customHeight="1">
      <c r="K980" s="200"/>
    </row>
    <row r="981" ht="15.75" customHeight="1">
      <c r="K981" s="200"/>
    </row>
    <row r="982" ht="15.75" customHeight="1">
      <c r="K982" s="200"/>
    </row>
    <row r="983" ht="15.75" customHeight="1">
      <c r="K983" s="200"/>
    </row>
    <row r="984" ht="15.75" customHeight="1">
      <c r="K984" s="200"/>
    </row>
    <row r="985" ht="15.75" customHeight="1">
      <c r="K985" s="200"/>
    </row>
    <row r="986" ht="15.75" customHeight="1">
      <c r="K986" s="200"/>
    </row>
    <row r="987" ht="15.75" customHeight="1">
      <c r="K987" s="200"/>
    </row>
    <row r="988" ht="15.75" customHeight="1">
      <c r="K988" s="200"/>
    </row>
    <row r="989" ht="15.75" customHeight="1">
      <c r="K989" s="200"/>
    </row>
    <row r="990" ht="15.75" customHeight="1">
      <c r="K990" s="200"/>
    </row>
    <row r="991" ht="15.75" customHeight="1">
      <c r="K991" s="200"/>
    </row>
    <row r="992" ht="15.75" customHeight="1">
      <c r="K992" s="200"/>
    </row>
    <row r="993" ht="15.75" customHeight="1">
      <c r="K993" s="200"/>
    </row>
    <row r="994" ht="15.75" customHeight="1">
      <c r="K994" s="200"/>
    </row>
    <row r="995" ht="15.75" customHeight="1">
      <c r="K995" s="200"/>
    </row>
    <row r="996" ht="15.75" customHeight="1">
      <c r="K996" s="200"/>
    </row>
    <row r="997" ht="15.75" customHeight="1">
      <c r="K997" s="200"/>
    </row>
    <row r="998" ht="15.75" customHeight="1">
      <c r="K998" s="200"/>
    </row>
    <row r="999" ht="15.75" customHeight="1">
      <c r="K999" s="200"/>
    </row>
    <row r="1000" ht="15.75" customHeight="1">
      <c r="K1000" s="200"/>
    </row>
  </sheetData>
  <autoFilter ref="$J$2:$O$13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52.89"/>
    <col customWidth="1" min="2" max="2" width="17.56"/>
    <col customWidth="1" min="5" max="5" width="15.0"/>
  </cols>
  <sheetData>
    <row r="1" ht="15.75" customHeight="1">
      <c r="A1" s="201" t="s">
        <v>408</v>
      </c>
      <c r="K1" s="5"/>
    </row>
    <row r="2" ht="15.75" customHeight="1">
      <c r="B2" s="15" t="s">
        <v>13</v>
      </c>
      <c r="C2" s="16" t="s">
        <v>11</v>
      </c>
      <c r="D2" s="15" t="s">
        <v>14</v>
      </c>
      <c r="E2" s="15" t="s">
        <v>15</v>
      </c>
      <c r="F2" s="15" t="s">
        <v>16</v>
      </c>
      <c r="G2" s="202" t="s">
        <v>17</v>
      </c>
      <c r="K2" s="5"/>
      <c r="P2" s="27" t="s">
        <v>409</v>
      </c>
    </row>
    <row r="3" ht="15.75" customHeight="1">
      <c r="A3" s="203" t="s">
        <v>322</v>
      </c>
      <c r="B3" s="27">
        <v>10000.0</v>
      </c>
      <c r="C3" s="27" t="s">
        <v>32</v>
      </c>
      <c r="D3" s="27" t="s">
        <v>28</v>
      </c>
      <c r="E3" s="27">
        <f>B3*'Reference Values'!$C$2</f>
        <v>7.06858E+20</v>
      </c>
      <c r="F3" s="89">
        <f>E3*'Reference Values'!$C$17</f>
        <v>0.6828251633</v>
      </c>
      <c r="G3" s="85">
        <f>F3*'Reference Values'!$D$17</f>
        <v>2.867865686</v>
      </c>
      <c r="K3" s="5"/>
    </row>
    <row r="4" ht="15.75" customHeight="1">
      <c r="A4" s="31" t="s">
        <v>322</v>
      </c>
      <c r="B4" s="27">
        <v>2.0</v>
      </c>
      <c r="C4" s="27" t="s">
        <v>269</v>
      </c>
      <c r="D4" s="27" t="s">
        <v>28</v>
      </c>
      <c r="E4" s="27">
        <f>B4*'Reference Values'!$C$2</f>
        <v>1.41372E+17</v>
      </c>
      <c r="F4" s="89">
        <f>E4*'Reference Values'!$C$11</f>
        <v>0.000564072961</v>
      </c>
      <c r="G4" s="85">
        <f>F4*'Reference Values'!$D$11</f>
        <v>0.0008363636364</v>
      </c>
      <c r="K4" s="5"/>
      <c r="P4" s="173">
        <f>SUM(G4:G6)/196</f>
        <v>0.001417915161</v>
      </c>
      <c r="R4" s="173">
        <f>$P$4*'Materials (baseline)'!R2</f>
        <v>0.05104494581</v>
      </c>
      <c r="S4" s="173">
        <f>$P$4*'Materials (baseline)'!S2</f>
        <v>0.08507490969</v>
      </c>
      <c r="T4" s="173">
        <f>$P$4*'Materials (baseline)'!T2</f>
        <v>0.1134332129</v>
      </c>
      <c r="U4" s="173">
        <f>$P$4*'Materials (baseline)'!U2</f>
        <v>0.1531348374</v>
      </c>
      <c r="V4" s="173">
        <f>$P$4*'Materials (baseline)'!V2</f>
        <v>0.2098514439</v>
      </c>
      <c r="W4" s="173">
        <f>$P$4*'Materials (baseline)'!W2</f>
        <v>0.2779113717</v>
      </c>
      <c r="X4" s="173">
        <f>$P$4*'Materials (baseline)'!X2</f>
        <v>0.3629862813</v>
      </c>
      <c r="Y4" s="173">
        <f>$P$4*'Materials (baseline)'!Y2</f>
        <v>0.5047777975</v>
      </c>
      <c r="Z4" s="173">
        <f>$P$4*'Materials (baseline)'!Z2</f>
        <v>0.7543308659</v>
      </c>
      <c r="AA4" s="173">
        <f>$P$4*'Materials (baseline)'!AA2</f>
        <v>0.9358240066</v>
      </c>
      <c r="AB4" s="173">
        <f>$P$4*'Materials (baseline)'!AB2</f>
        <v>1.117317147</v>
      </c>
      <c r="AC4" s="173">
        <f>$P$4*'Materials (baseline)'!AC2</f>
        <v>1.298810288</v>
      </c>
      <c r="AD4" s="173">
        <f>$P$4*'Materials (baseline)'!AD2</f>
        <v>1.480303429</v>
      </c>
    </row>
    <row r="5" ht="15.75" customHeight="1">
      <c r="A5" s="31" t="s">
        <v>322</v>
      </c>
      <c r="B5" s="27">
        <v>2.5</v>
      </c>
      <c r="C5" s="27" t="s">
        <v>137</v>
      </c>
      <c r="D5" s="27" t="s">
        <v>28</v>
      </c>
      <c r="E5" s="27">
        <f>B5*'Reference Values'!$C$2</f>
        <v>1.76715E+17</v>
      </c>
      <c r="F5" s="89">
        <f>E5*'Reference Values'!$C$26</f>
        <v>0.000920682997</v>
      </c>
      <c r="G5" s="85">
        <f>F5*'Reference Values'!$D$26</f>
        <v>0.04048964219</v>
      </c>
      <c r="K5" s="5"/>
    </row>
    <row r="6" ht="15.75" customHeight="1">
      <c r="A6" s="31" t="s">
        <v>322</v>
      </c>
      <c r="B6" s="22">
        <v>20.0</v>
      </c>
      <c r="C6" s="22" t="s">
        <v>410</v>
      </c>
      <c r="D6" s="22" t="s">
        <v>28</v>
      </c>
      <c r="E6" s="27">
        <f>B6*'Reference Values'!$C$2</f>
        <v>1.41372E+18</v>
      </c>
      <c r="F6" s="89">
        <f>E6*'Reference Values'!$C$14</f>
        <v>0.01441991028</v>
      </c>
      <c r="G6" s="85">
        <f>F6*'Reference Values'!$D$14</f>
        <v>0.2365853658</v>
      </c>
      <c r="K6" s="5"/>
    </row>
    <row r="7" ht="15.75" customHeight="1">
      <c r="A7" s="31" t="s">
        <v>322</v>
      </c>
      <c r="B7" s="27">
        <v>45.0</v>
      </c>
      <c r="C7" s="27" t="s">
        <v>40</v>
      </c>
      <c r="D7" s="27" t="s">
        <v>28</v>
      </c>
      <c r="E7" s="27">
        <f>B7*'Reference Values'!$C$2</f>
        <v>3.18086E+18</v>
      </c>
      <c r="F7" s="89">
        <f>E7*'Reference Values'!$C$20</f>
        <v>0.006775237257</v>
      </c>
      <c r="G7" s="85">
        <f>F7*'Reference Values'!$D$20</f>
        <v>0.01386527837</v>
      </c>
      <c r="K7" s="5"/>
    </row>
    <row r="8" ht="15.75" customHeight="1">
      <c r="A8" s="31" t="s">
        <v>322</v>
      </c>
      <c r="B8" s="27">
        <v>140.0</v>
      </c>
      <c r="C8" s="27" t="s">
        <v>155</v>
      </c>
      <c r="D8" s="27" t="s">
        <v>28</v>
      </c>
      <c r="E8" s="27">
        <f>B8*'Reference Values'!$C$2</f>
        <v>9.89602E+18</v>
      </c>
      <c r="F8" s="89">
        <f>E8*'Reference Values'!$C$16</f>
        <v>0.02305771928</v>
      </c>
      <c r="G8" s="204">
        <f>F8*'Reference Values'!$D$16</f>
        <v>0.09525032093</v>
      </c>
      <c r="K8" s="5"/>
      <c r="O8" s="173">
        <f>SUM(G7:G8,G3)</f>
        <v>2.976981285</v>
      </c>
      <c r="R8" s="173">
        <f t="shared" ref="R8:AD8" si="1">$O$8+R4</f>
        <v>3.028026231</v>
      </c>
      <c r="S8" s="173">
        <f t="shared" si="1"/>
        <v>3.062056195</v>
      </c>
      <c r="T8" s="173">
        <f t="shared" si="1"/>
        <v>3.090414498</v>
      </c>
      <c r="U8" s="173">
        <f t="shared" si="1"/>
        <v>3.130116122</v>
      </c>
      <c r="V8" s="173">
        <f t="shared" si="1"/>
        <v>3.186832729</v>
      </c>
      <c r="W8" s="173">
        <f t="shared" si="1"/>
        <v>3.254892657</v>
      </c>
      <c r="X8" s="173">
        <f t="shared" si="1"/>
        <v>3.339967566</v>
      </c>
      <c r="Y8" s="173">
        <f t="shared" si="1"/>
        <v>3.481759082</v>
      </c>
      <c r="Z8" s="173">
        <f t="shared" si="1"/>
        <v>3.731312151</v>
      </c>
      <c r="AA8" s="173">
        <f t="shared" si="1"/>
        <v>3.912805292</v>
      </c>
      <c r="AB8" s="173">
        <f t="shared" si="1"/>
        <v>4.094298432</v>
      </c>
      <c r="AC8" s="173">
        <f t="shared" si="1"/>
        <v>4.275791573</v>
      </c>
      <c r="AD8" s="173">
        <f t="shared" si="1"/>
        <v>4.457284714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4.78"/>
    <col customWidth="1" min="4" max="4" width="16.33"/>
    <col customWidth="1" min="10" max="10" width="16.11"/>
    <col customWidth="1" min="17" max="17" width="24.33"/>
  </cols>
  <sheetData>
    <row r="1" ht="15.75" customHeight="1">
      <c r="A1" s="27"/>
      <c r="K1" s="200"/>
      <c r="Q1" s="172" t="s">
        <v>411</v>
      </c>
      <c r="R1" s="205">
        <v>0.0</v>
      </c>
      <c r="S1" s="205">
        <v>0.0</v>
      </c>
      <c r="T1" s="205">
        <v>0.0</v>
      </c>
      <c r="U1" s="205">
        <v>0.0</v>
      </c>
      <c r="V1" s="205">
        <v>0.0</v>
      </c>
      <c r="W1" s="205">
        <v>0.0</v>
      </c>
      <c r="X1" s="205">
        <v>1.0</v>
      </c>
      <c r="Y1" s="205">
        <v>1.0</v>
      </c>
      <c r="Z1" s="205">
        <v>2.0</v>
      </c>
      <c r="AA1" s="205">
        <v>2.0</v>
      </c>
      <c r="AB1" s="205">
        <v>3.0</v>
      </c>
      <c r="AC1" s="205">
        <v>3.0</v>
      </c>
      <c r="AD1" s="205">
        <v>4.0</v>
      </c>
      <c r="AH1" s="200"/>
      <c r="AI1" s="200"/>
      <c r="AJ1" s="200"/>
      <c r="AK1" s="200"/>
      <c r="AL1" s="200"/>
      <c r="AM1" s="200"/>
      <c r="AN1" s="200"/>
      <c r="AO1" s="200"/>
      <c r="AP1" s="200"/>
      <c r="AQ1" s="200"/>
    </row>
    <row r="2" ht="15.75" customHeight="1">
      <c r="A2" s="11" t="s">
        <v>5</v>
      </c>
      <c r="B2" s="12" t="s">
        <v>6</v>
      </c>
      <c r="C2" s="12" t="s">
        <v>7</v>
      </c>
      <c r="D2" s="13" t="s">
        <v>8</v>
      </c>
      <c r="E2" s="13" t="s">
        <v>9</v>
      </c>
      <c r="F2" s="13" t="s">
        <v>10</v>
      </c>
      <c r="G2" s="12" t="s">
        <v>11</v>
      </c>
      <c r="H2" s="12" t="s">
        <v>12</v>
      </c>
      <c r="I2" s="14"/>
      <c r="J2" s="15" t="s">
        <v>13</v>
      </c>
      <c r="K2" s="16" t="s">
        <v>11</v>
      </c>
      <c r="L2" s="15" t="s">
        <v>14</v>
      </c>
      <c r="M2" s="15" t="s">
        <v>15</v>
      </c>
      <c r="N2" s="202" t="s">
        <v>16</v>
      </c>
      <c r="O2" s="15" t="s">
        <v>17</v>
      </c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</row>
    <row r="3" ht="15.75" customHeight="1">
      <c r="A3" s="206" t="s">
        <v>412</v>
      </c>
      <c r="K3" s="5"/>
      <c r="O3" s="207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ht="15.75" customHeight="1">
      <c r="A4" s="92" t="s">
        <v>305</v>
      </c>
      <c r="B4" s="208">
        <v>551.0</v>
      </c>
      <c r="C4" s="208">
        <v>2320.0</v>
      </c>
      <c r="D4" s="209" t="s">
        <v>247</v>
      </c>
      <c r="E4" s="209" t="s">
        <v>135</v>
      </c>
      <c r="F4" s="210" t="s">
        <v>306</v>
      </c>
      <c r="G4" s="211" t="s">
        <v>137</v>
      </c>
      <c r="H4" s="211" t="s">
        <v>94</v>
      </c>
      <c r="J4" s="82">
        <f>70</f>
        <v>70</v>
      </c>
      <c r="K4" s="5" t="s">
        <v>137</v>
      </c>
      <c r="L4" s="82"/>
      <c r="M4" s="82">
        <f>J4*'Reference Values'!$C$2</f>
        <v>4.94801E+18</v>
      </c>
      <c r="N4" s="212">
        <f>M4*'Reference Values'!$C$26</f>
        <v>0.02577912392</v>
      </c>
      <c r="O4" s="204">
        <f>N4*'Reference Values'!$D$26</f>
        <v>1.133709981</v>
      </c>
      <c r="Q4" s="22" t="s">
        <v>304</v>
      </c>
      <c r="R4" s="173">
        <f t="shared" ref="R4:AD4" si="1">$O$4*R1</f>
        <v>0</v>
      </c>
      <c r="S4" s="173">
        <f t="shared" si="1"/>
        <v>0</v>
      </c>
      <c r="T4" s="173">
        <f t="shared" si="1"/>
        <v>0</v>
      </c>
      <c r="U4" s="173">
        <f t="shared" si="1"/>
        <v>0</v>
      </c>
      <c r="V4" s="173">
        <f t="shared" si="1"/>
        <v>0</v>
      </c>
      <c r="W4" s="173">
        <f t="shared" si="1"/>
        <v>0</v>
      </c>
      <c r="X4" s="173">
        <f t="shared" si="1"/>
        <v>1.133709981</v>
      </c>
      <c r="Y4" s="173">
        <f t="shared" si="1"/>
        <v>1.133709981</v>
      </c>
      <c r="Z4" s="173">
        <f t="shared" si="1"/>
        <v>2.267419963</v>
      </c>
      <c r="AA4" s="173">
        <f t="shared" si="1"/>
        <v>2.267419963</v>
      </c>
      <c r="AB4" s="173">
        <f t="shared" si="1"/>
        <v>3.401129944</v>
      </c>
      <c r="AC4" s="173">
        <f t="shared" si="1"/>
        <v>3.401129944</v>
      </c>
      <c r="AD4" s="173">
        <f t="shared" si="1"/>
        <v>4.534839925</v>
      </c>
      <c r="AH4" s="5"/>
      <c r="AI4" s="5"/>
      <c r="AJ4" s="5"/>
      <c r="AK4" s="5"/>
      <c r="AL4" s="5"/>
      <c r="AM4" s="5"/>
      <c r="AN4" s="5"/>
      <c r="AO4" s="5"/>
      <c r="AP4" s="5"/>
      <c r="AQ4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0.89"/>
    <col customWidth="1" min="2" max="2" width="18.33"/>
    <col customWidth="1" min="3" max="3" width="36.33"/>
    <col customWidth="1" min="4" max="4" width="14.44"/>
    <col customWidth="1" min="5" max="26" width="10.56"/>
  </cols>
  <sheetData>
    <row r="1" ht="15.75" customHeight="1">
      <c r="A1" s="172" t="s">
        <v>413</v>
      </c>
      <c r="C1" s="27">
        <f>(15)^2*PI()</f>
        <v>706.8583471</v>
      </c>
    </row>
    <row r="2" ht="15.75" customHeight="1">
      <c r="A2" s="172" t="s">
        <v>414</v>
      </c>
      <c r="C2" s="27">
        <f>(1.5*10^8)^2*PI()</f>
        <v>7.06858E+16</v>
      </c>
    </row>
    <row r="3" ht="15.75" customHeight="1"/>
    <row r="4" ht="15.75" customHeight="1"/>
    <row r="5" ht="15.75" customHeight="1"/>
    <row r="6" ht="15.75" customHeight="1">
      <c r="A6" s="213" t="s">
        <v>11</v>
      </c>
      <c r="B6" s="213" t="s">
        <v>415</v>
      </c>
      <c r="C6" s="213" t="s">
        <v>416</v>
      </c>
      <c r="D6" s="214" t="s">
        <v>417</v>
      </c>
    </row>
    <row r="7" ht="15.75" customHeight="1">
      <c r="A7" s="172" t="s">
        <v>418</v>
      </c>
      <c r="B7" s="215">
        <v>2.29</v>
      </c>
      <c r="C7" s="173">
        <f t="shared" ref="C7:C27" si="1">B7*(10^-21)</f>
        <v>0</v>
      </c>
      <c r="D7" s="215">
        <v>308.8887784</v>
      </c>
    </row>
    <row r="8" ht="15.75" customHeight="1">
      <c r="A8" s="172" t="s">
        <v>419</v>
      </c>
      <c r="B8" s="215">
        <v>2.0</v>
      </c>
      <c r="C8" s="173">
        <f t="shared" si="1"/>
        <v>0</v>
      </c>
      <c r="D8" s="215">
        <v>254.6479089</v>
      </c>
    </row>
    <row r="9" ht="15.75" customHeight="1">
      <c r="A9" s="172" t="s">
        <v>420</v>
      </c>
      <c r="B9" s="215">
        <v>2.7</v>
      </c>
      <c r="C9" s="173">
        <f t="shared" si="1"/>
        <v>0</v>
      </c>
      <c r="D9" s="215">
        <v>10.72688123</v>
      </c>
    </row>
    <row r="10" ht="15.75" customHeight="1">
      <c r="A10" s="172" t="s">
        <v>421</v>
      </c>
      <c r="B10" s="215">
        <f>AVERAGE(B9,B13)</f>
        <v>5.83</v>
      </c>
      <c r="C10" s="173">
        <f t="shared" si="1"/>
        <v>0</v>
      </c>
      <c r="D10" s="215">
        <f>AVERAGE(D9,D13)</f>
        <v>8.408496924</v>
      </c>
    </row>
    <row r="11" ht="15.75" customHeight="1">
      <c r="A11" s="172" t="s">
        <v>422</v>
      </c>
      <c r="B11" s="215">
        <v>3.99</v>
      </c>
      <c r="C11" s="173">
        <f t="shared" si="1"/>
        <v>0</v>
      </c>
      <c r="D11" s="215">
        <v>1.482722439</v>
      </c>
    </row>
    <row r="12" ht="15.75" customHeight="1">
      <c r="A12" s="172" t="s">
        <v>423</v>
      </c>
      <c r="B12" s="215">
        <v>2.2</v>
      </c>
      <c r="C12" s="173">
        <f t="shared" si="1"/>
        <v>0</v>
      </c>
      <c r="D12" s="215">
        <v>13.98634348</v>
      </c>
    </row>
    <row r="13" ht="15.75" customHeight="1">
      <c r="A13" s="172" t="s">
        <v>424</v>
      </c>
      <c r="B13" s="215">
        <v>8.96</v>
      </c>
      <c r="C13" s="173">
        <f t="shared" si="1"/>
        <v>0</v>
      </c>
      <c r="D13" s="215">
        <v>6.090112618</v>
      </c>
    </row>
    <row r="14" ht="15.75" customHeight="1">
      <c r="A14" s="172" t="s">
        <v>425</v>
      </c>
      <c r="B14" s="215">
        <v>10.2</v>
      </c>
      <c r="C14" s="173">
        <f t="shared" si="1"/>
        <v>0</v>
      </c>
      <c r="D14" s="215">
        <v>16.40685422</v>
      </c>
    </row>
    <row r="15" ht="15.75" customHeight="1">
      <c r="A15" s="172" t="s">
        <v>426</v>
      </c>
      <c r="B15" s="215">
        <v>18.6</v>
      </c>
      <c r="C15" s="173">
        <f t="shared" si="1"/>
        <v>0</v>
      </c>
      <c r="D15" s="215">
        <v>19053.341485000565</v>
      </c>
    </row>
    <row r="16" ht="15.75" customHeight="1">
      <c r="A16" s="172" t="s">
        <v>427</v>
      </c>
      <c r="B16" s="215">
        <v>2.33</v>
      </c>
      <c r="C16" s="173">
        <f t="shared" si="1"/>
        <v>0</v>
      </c>
      <c r="D16" s="215">
        <v>4.130951538</v>
      </c>
    </row>
    <row r="17" ht="15.75" customHeight="1">
      <c r="A17" s="172" t="s">
        <v>428</v>
      </c>
      <c r="B17" s="216">
        <v>0.966</v>
      </c>
      <c r="C17" s="173">
        <f t="shared" si="1"/>
        <v>0</v>
      </c>
      <c r="D17" s="215">
        <v>4.2</v>
      </c>
    </row>
    <row r="18" ht="15.75" customHeight="1">
      <c r="A18" s="172" t="s">
        <v>429</v>
      </c>
      <c r="B18" s="215">
        <v>3.33</v>
      </c>
      <c r="C18" s="173">
        <f t="shared" si="1"/>
        <v>0</v>
      </c>
      <c r="D18" s="215">
        <v>67.97408314</v>
      </c>
    </row>
    <row r="19" ht="15.75" customHeight="1">
      <c r="A19" s="172" t="s">
        <v>430</v>
      </c>
      <c r="B19" s="215">
        <v>3.17</v>
      </c>
      <c r="C19" s="173">
        <f t="shared" si="1"/>
        <v>0</v>
      </c>
      <c r="D19" s="215">
        <v>64.5720543</v>
      </c>
    </row>
    <row r="20" ht="15.75" customHeight="1">
      <c r="A20" s="172" t="s">
        <v>431</v>
      </c>
      <c r="B20" s="215">
        <v>2.13</v>
      </c>
      <c r="C20" s="173">
        <f t="shared" si="1"/>
        <v>0</v>
      </c>
      <c r="D20" s="215">
        <v>2.046463887</v>
      </c>
    </row>
    <row r="21" ht="15.75" customHeight="1">
      <c r="A21" s="172" t="s">
        <v>432</v>
      </c>
      <c r="B21" s="215">
        <v>2.81</v>
      </c>
      <c r="C21" s="173">
        <f t="shared" si="1"/>
        <v>0</v>
      </c>
      <c r="D21" s="215">
        <v>37.87056387</v>
      </c>
    </row>
    <row r="22" ht="15.75" customHeight="1">
      <c r="A22" s="172" t="s">
        <v>433</v>
      </c>
      <c r="B22" s="215">
        <v>13.7</v>
      </c>
      <c r="C22" s="173">
        <f t="shared" si="1"/>
        <v>0</v>
      </c>
      <c r="D22" s="215">
        <v>25.81588696</v>
      </c>
    </row>
    <row r="23" ht="15.75" customHeight="1">
      <c r="A23" s="172" t="s">
        <v>434</v>
      </c>
      <c r="B23" s="215">
        <v>0.94</v>
      </c>
      <c r="C23" s="173">
        <f t="shared" si="1"/>
        <v>0</v>
      </c>
      <c r="D23" s="215">
        <v>2.859521436</v>
      </c>
    </row>
    <row r="24" ht="15.75" customHeight="1">
      <c r="A24" s="172" t="s">
        <v>435</v>
      </c>
      <c r="B24" s="215">
        <v>4.5</v>
      </c>
      <c r="C24" s="173">
        <f t="shared" si="1"/>
        <v>0</v>
      </c>
      <c r="D24" s="215">
        <v>47.63335371</v>
      </c>
    </row>
    <row r="25" ht="15.75" customHeight="1">
      <c r="A25" s="172" t="s">
        <v>436</v>
      </c>
      <c r="B25" s="215">
        <f>AVERAGE(B24,B9)</f>
        <v>3.6</v>
      </c>
      <c r="C25" s="173">
        <f t="shared" si="1"/>
        <v>0</v>
      </c>
      <c r="D25" s="215">
        <f>AVERAGE(D24,D9)</f>
        <v>29.18011747</v>
      </c>
    </row>
    <row r="26" ht="15.75" customHeight="1">
      <c r="A26" s="172" t="s">
        <v>437</v>
      </c>
      <c r="B26" s="215">
        <v>5.21</v>
      </c>
      <c r="C26" s="173">
        <f t="shared" si="1"/>
        <v>0</v>
      </c>
      <c r="D26" s="215">
        <v>43.97783202</v>
      </c>
    </row>
    <row r="27" ht="15.75" customHeight="1">
      <c r="A27" s="172" t="s">
        <v>438</v>
      </c>
      <c r="B27" s="215">
        <v>19.3</v>
      </c>
      <c r="C27" s="173">
        <f t="shared" si="1"/>
        <v>0</v>
      </c>
      <c r="D27" s="215">
        <v>75.81493114</v>
      </c>
    </row>
    <row r="28" ht="15.75" customHeight="1">
      <c r="A28" s="217" t="s">
        <v>439</v>
      </c>
      <c r="B28" s="218" t="s">
        <v>440</v>
      </c>
      <c r="C28" s="27" t="s">
        <v>441</v>
      </c>
      <c r="D28" s="218">
        <f>26*1000</f>
        <v>26000</v>
      </c>
      <c r="E28" s="27" t="s">
        <v>442</v>
      </c>
    </row>
    <row r="29" ht="15.75" customHeight="1">
      <c r="A29" s="172" t="s">
        <v>443</v>
      </c>
      <c r="B29" s="215">
        <v>17.8</v>
      </c>
      <c r="C29" s="173">
        <f t="shared" ref="C29:C30" si="2">B29*(10^-21)</f>
        <v>0</v>
      </c>
      <c r="D29" s="215">
        <v>76.82885309</v>
      </c>
    </row>
    <row r="30" ht="15.75" customHeight="1">
      <c r="A30" s="172" t="s">
        <v>444</v>
      </c>
      <c r="B30" s="215">
        <v>16.1</v>
      </c>
      <c r="C30" s="173">
        <f t="shared" si="2"/>
        <v>0</v>
      </c>
      <c r="D30" s="215">
        <v>73.22518661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7.78"/>
    <col customWidth="1" min="2" max="2" width="21.33"/>
    <col customWidth="1" min="3" max="3" width="17.44"/>
    <col customWidth="1" min="4" max="26" width="10.56"/>
  </cols>
  <sheetData>
    <row r="1" ht="15.75" customHeight="1">
      <c r="A1" s="172" t="s">
        <v>445</v>
      </c>
      <c r="B1" s="27" t="s">
        <v>446</v>
      </c>
      <c r="C1" s="27" t="s">
        <v>447</v>
      </c>
    </row>
    <row r="2" ht="15.75" customHeight="1">
      <c r="A2" s="219" t="s">
        <v>32</v>
      </c>
      <c r="B2" s="27">
        <v>2.8678656856825135</v>
      </c>
      <c r="C2" s="27">
        <v>2.8678656856825135</v>
      </c>
    </row>
    <row r="3" ht="15.75" customHeight="1">
      <c r="A3" s="219" t="s">
        <v>269</v>
      </c>
      <c r="B3" s="27">
        <v>8.363636364367714E-4</v>
      </c>
      <c r="C3" s="27">
        <v>8.363636364367714E-4</v>
      </c>
    </row>
    <row r="4" ht="15.75" customHeight="1">
      <c r="A4" s="219" t="s">
        <v>137</v>
      </c>
      <c r="B4" s="27">
        <v>0.0404896421876122</v>
      </c>
      <c r="C4" s="27">
        <v>0.0404896421876122</v>
      </c>
    </row>
    <row r="5" ht="15.75" customHeight="1">
      <c r="A5" s="219" t="s">
        <v>54</v>
      </c>
      <c r="B5" s="220">
        <v>2.0685900926454805</v>
      </c>
      <c r="C5" s="221">
        <v>0.23658536582906445</v>
      </c>
    </row>
    <row r="6" ht="15.75" customHeight="1">
      <c r="A6" s="219" t="s">
        <v>40</v>
      </c>
      <c r="B6" s="27">
        <v>0.013865278371382614</v>
      </c>
      <c r="C6" s="27">
        <v>0.013865278371382614</v>
      </c>
    </row>
    <row r="7" ht="15.75" customHeight="1">
      <c r="A7" s="222" t="s">
        <v>155</v>
      </c>
      <c r="B7" s="27">
        <v>0.09525032092671128</v>
      </c>
      <c r="C7" s="27">
        <v>0.09525032092671128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2025-08-18T15:08:35Z</dcterms:created>
  <dc:creator>Grey-Stewart, Danielle</dc:creator>
</cp:coreProperties>
</file>