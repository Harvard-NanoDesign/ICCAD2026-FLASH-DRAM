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s" sheetId="1" r:id="rId5"/>
    <sheet state="visible" name="BG1" sheetId="2" r:id="rId6"/>
    <sheet state="visible" name="BG2" sheetId="3" r:id="rId7"/>
    <sheet state="visible" name="VG1" sheetId="4" r:id="rId8"/>
    <sheet state="visible" name="VG2" sheetId="5" r:id="rId9"/>
    <sheet state="visible" name="VG3" sheetId="6" r:id="rId10"/>
    <sheet state="visible" name="3D13D2" sheetId="7" r:id="rId11"/>
    <sheet state="visible" name="IGZO" sheetId="8" r:id="rId12"/>
    <sheet state="visible" name="HBMB" sheetId="9" r:id="rId13"/>
    <sheet state="visible" name="HBMV1" sheetId="10" r:id="rId14"/>
    <sheet state="visible" name="HBMV2" sheetId="11" r:id="rId15"/>
  </sheets>
  <definedNames/>
  <calcPr/>
</workbook>
</file>

<file path=xl/sharedStrings.xml><?xml version="1.0" encoding="utf-8"?>
<sst xmlns="http://schemas.openxmlformats.org/spreadsheetml/2006/main" count="598" uniqueCount="49">
  <si>
    <t>Module</t>
  </si>
  <si>
    <t>Process Area</t>
  </si>
  <si>
    <t>Energy/Step</t>
  </si>
  <si>
    <t>Electrical Grids</t>
  </si>
  <si>
    <t>ASH</t>
  </si>
  <si>
    <t>Dry Etch</t>
  </si>
  <si>
    <t>Country</t>
  </si>
  <si>
    <t>kWh --&gt; gCO2e conversion factor</t>
  </si>
  <si>
    <t>CMP</t>
  </si>
  <si>
    <t>Wet Etch</t>
  </si>
  <si>
    <t>South Korea</t>
  </si>
  <si>
    <t>DIF</t>
  </si>
  <si>
    <t>ETC</t>
  </si>
  <si>
    <t>Fab In</t>
  </si>
  <si>
    <t>N/A</t>
  </si>
  <si>
    <t>Fab Out</t>
  </si>
  <si>
    <t>IMP</t>
  </si>
  <si>
    <t>LIT</t>
  </si>
  <si>
    <t>EUV</t>
  </si>
  <si>
    <t>ArF-i</t>
  </si>
  <si>
    <t>ArF</t>
  </si>
  <si>
    <t>KrF</t>
  </si>
  <si>
    <t>HG</t>
  </si>
  <si>
    <t>MET</t>
  </si>
  <si>
    <t>Metallization</t>
  </si>
  <si>
    <t>TFM</t>
  </si>
  <si>
    <t>Deposition</t>
  </si>
  <si>
    <t>WET</t>
  </si>
  <si>
    <t>SPIN</t>
  </si>
  <si>
    <t>Step Count</t>
  </si>
  <si>
    <t>Process Module</t>
  </si>
  <si>
    <t>Spin</t>
  </si>
  <si>
    <t>Wafer prep + periphery active</t>
  </si>
  <si>
    <t>Buried WL</t>
  </si>
  <si>
    <t>Periphery + BL contacts</t>
  </si>
  <si>
    <t>Periphery transistor + BL</t>
  </si>
  <si>
    <t>Cell storage node plug</t>
  </si>
  <si>
    <t>Contacts + metal</t>
  </si>
  <si>
    <t>Capacitor patterning + fill</t>
  </si>
  <si>
    <t>Metal layers</t>
  </si>
  <si>
    <t>TOTAL</t>
  </si>
  <si>
    <t>Energy (kWh/wafer)</t>
  </si>
  <si>
    <t>gCo2e/wafer on SK grid</t>
  </si>
  <si>
    <t>Energy * steps (kWh/wafer)</t>
  </si>
  <si>
    <t>gCO2e/wafer, SK grid</t>
  </si>
  <si>
    <t>HAR RIE</t>
  </si>
  <si>
    <t>Cryogenic HAR etch</t>
  </si>
  <si>
    <t>HAR</t>
  </si>
  <si>
    <t>HAR (cryo)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</si>
</sst>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2" fontId="1" numFmtId="0" xfId="0" applyFill="1" applyFont="1"/>
    <xf borderId="0" fillId="0" fontId="2" numFmtId="0" xfId="0" applyFont="1"/>
    <xf borderId="0" fillId="2" fontId="2" numFmtId="0" xfId="0" applyFont="1"/>
    <xf borderId="1" fillId="0" fontId="1" numFmtId="0" xfId="0" applyAlignment="1" applyBorder="1" applyFont="1">
      <alignment readingOrder="0"/>
    </xf>
    <xf borderId="1" fillId="0" fontId="3" numFmtId="0" xfId="0" applyBorder="1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F1" s="2" t="s">
        <v>3</v>
      </c>
    </row>
    <row r="2">
      <c r="A2" s="3" t="s">
        <v>4</v>
      </c>
      <c r="B2" s="4" t="s">
        <v>5</v>
      </c>
      <c r="C2" s="3">
        <v>1.3333333333333333</v>
      </c>
      <c r="F2" s="1" t="s">
        <v>6</v>
      </c>
      <c r="G2" s="1" t="s">
        <v>7</v>
      </c>
    </row>
    <row r="3">
      <c r="A3" s="3" t="s">
        <v>8</v>
      </c>
      <c r="B3" s="4" t="s">
        <v>9</v>
      </c>
      <c r="C3" s="3">
        <v>0.2761904761904762</v>
      </c>
      <c r="F3" s="4" t="s">
        <v>10</v>
      </c>
      <c r="G3" s="4">
        <v>430.0</v>
      </c>
    </row>
    <row r="4">
      <c r="A4" s="3" t="s">
        <v>11</v>
      </c>
      <c r="B4" s="4" t="s">
        <v>5</v>
      </c>
      <c r="C4" s="3">
        <v>1.3333333333333333</v>
      </c>
    </row>
    <row r="5">
      <c r="A5" s="3" t="s">
        <v>12</v>
      </c>
      <c r="B5" s="4" t="s">
        <v>5</v>
      </c>
      <c r="C5" s="3">
        <v>1.3333333333333333</v>
      </c>
    </row>
    <row r="6">
      <c r="A6" s="3" t="s">
        <v>13</v>
      </c>
      <c r="B6" s="4" t="s">
        <v>14</v>
      </c>
      <c r="C6" s="4">
        <v>0.0</v>
      </c>
    </row>
    <row r="7">
      <c r="A7" s="3" t="s">
        <v>15</v>
      </c>
      <c r="B7" s="4" t="s">
        <v>14</v>
      </c>
      <c r="C7" s="4">
        <v>0.0</v>
      </c>
    </row>
    <row r="8">
      <c r="A8" s="3" t="s">
        <v>16</v>
      </c>
      <c r="B8" s="4" t="s">
        <v>5</v>
      </c>
      <c r="C8" s="3">
        <v>1.3333333333333333</v>
      </c>
    </row>
    <row r="9">
      <c r="A9" s="3" t="s">
        <v>17</v>
      </c>
      <c r="B9" s="4" t="s">
        <v>18</v>
      </c>
      <c r="C9" s="4">
        <v>3.25</v>
      </c>
    </row>
    <row r="10">
      <c r="A10" s="3" t="s">
        <v>17</v>
      </c>
      <c r="B10" s="4" t="s">
        <v>19</v>
      </c>
      <c r="C10" s="3">
        <v>0.3611111111111111</v>
      </c>
    </row>
    <row r="11">
      <c r="A11" s="3" t="s">
        <v>17</v>
      </c>
      <c r="B11" s="4" t="s">
        <v>20</v>
      </c>
      <c r="C11" s="3">
        <v>0.3333333333333333</v>
      </c>
    </row>
    <row r="12">
      <c r="A12" s="3" t="s">
        <v>17</v>
      </c>
      <c r="B12" s="4" t="s">
        <v>21</v>
      </c>
      <c r="C12" s="3">
        <v>0.3333333333333333</v>
      </c>
    </row>
    <row r="13">
      <c r="A13" s="3" t="s">
        <v>17</v>
      </c>
      <c r="B13" s="4" t="s">
        <v>22</v>
      </c>
      <c r="C13" s="3">
        <v>0.3333333333333333</v>
      </c>
    </row>
    <row r="14">
      <c r="A14" s="3" t="s">
        <v>23</v>
      </c>
      <c r="B14" s="4" t="s">
        <v>24</v>
      </c>
      <c r="C14" s="4">
        <v>2.0</v>
      </c>
    </row>
    <row r="15">
      <c r="A15" s="3" t="s">
        <v>25</v>
      </c>
      <c r="B15" s="4" t="s">
        <v>26</v>
      </c>
      <c r="C15" s="3">
        <v>1.0944444444444443</v>
      </c>
    </row>
    <row r="16">
      <c r="A16" s="3" t="s">
        <v>27</v>
      </c>
      <c r="B16" s="4" t="s">
        <v>9</v>
      </c>
      <c r="C16" s="3">
        <v>0.2761904761904762</v>
      </c>
    </row>
    <row r="17">
      <c r="A17" s="4" t="s">
        <v>28</v>
      </c>
      <c r="B17" s="4" t="s">
        <v>9</v>
      </c>
      <c r="C17" s="3">
        <v>0.2761904761904762</v>
      </c>
    </row>
  </sheetData>
  <mergeCells count="1">
    <mergeCell ref="F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/>
      <c r="B1" s="5" t="s">
        <v>29</v>
      </c>
    </row>
    <row r="2">
      <c r="A2" s="1" t="s">
        <v>30</v>
      </c>
      <c r="B2" s="6" t="s">
        <v>5</v>
      </c>
      <c r="C2" s="6" t="s">
        <v>24</v>
      </c>
      <c r="D2" s="6" t="s">
        <v>9</v>
      </c>
      <c r="E2" s="6" t="s">
        <v>26</v>
      </c>
      <c r="F2" s="7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6" t="s">
        <v>31</v>
      </c>
    </row>
    <row r="3">
      <c r="A3" s="4" t="s">
        <v>32</v>
      </c>
      <c r="B3" s="8">
        <v>58.0</v>
      </c>
      <c r="C3" s="8">
        <v>0.0</v>
      </c>
      <c r="D3" s="8">
        <v>40.0</v>
      </c>
      <c r="E3" s="8">
        <v>14.0</v>
      </c>
      <c r="F3" s="9">
        <v>0.0</v>
      </c>
      <c r="G3" s="9">
        <v>4.0</v>
      </c>
      <c r="H3" s="9">
        <v>0.0</v>
      </c>
      <c r="I3" s="9">
        <v>1.0</v>
      </c>
      <c r="J3" s="9">
        <v>5.0</v>
      </c>
      <c r="K3" s="8">
        <v>13.0</v>
      </c>
    </row>
    <row r="4">
      <c r="A4" s="4" t="s">
        <v>33</v>
      </c>
      <c r="B4" s="8">
        <v>18.0</v>
      </c>
      <c r="C4" s="8">
        <v>2.0</v>
      </c>
      <c r="D4" s="8">
        <v>17.0</v>
      </c>
      <c r="E4" s="8">
        <v>9.0</v>
      </c>
      <c r="F4" s="9">
        <v>0.0</v>
      </c>
      <c r="G4" s="9">
        <v>1.0</v>
      </c>
      <c r="H4" s="9">
        <v>0.0</v>
      </c>
      <c r="I4" s="9">
        <v>1.0</v>
      </c>
      <c r="J4" s="9">
        <v>1.0</v>
      </c>
      <c r="K4" s="8">
        <v>4.0</v>
      </c>
    </row>
    <row r="5">
      <c r="A5" s="4" t="s">
        <v>34</v>
      </c>
      <c r="B5" s="8">
        <v>38.0</v>
      </c>
      <c r="C5" s="8">
        <v>0.0</v>
      </c>
      <c r="D5" s="8">
        <v>24.0</v>
      </c>
      <c r="E5" s="8">
        <v>7.0</v>
      </c>
      <c r="F5" s="9">
        <v>0.0</v>
      </c>
      <c r="G5" s="9">
        <v>2.0</v>
      </c>
      <c r="H5" s="9">
        <v>0.0</v>
      </c>
      <c r="I5" s="9">
        <v>5.0</v>
      </c>
      <c r="J5" s="9">
        <v>1.0</v>
      </c>
      <c r="K5" s="8">
        <v>10.0</v>
      </c>
    </row>
    <row r="6">
      <c r="A6" s="4" t="s">
        <v>35</v>
      </c>
      <c r="B6" s="8">
        <v>39.0</v>
      </c>
      <c r="C6" s="8">
        <v>3.0</v>
      </c>
      <c r="D6" s="8">
        <v>29.0</v>
      </c>
      <c r="E6" s="8">
        <v>11.0</v>
      </c>
      <c r="F6" s="9">
        <v>0.0</v>
      </c>
      <c r="G6" s="9">
        <v>1.0</v>
      </c>
      <c r="H6" s="9">
        <v>1.0</v>
      </c>
      <c r="I6" s="9">
        <v>6.0</v>
      </c>
      <c r="J6" s="9">
        <v>2.0</v>
      </c>
      <c r="K6" s="8">
        <v>11.0</v>
      </c>
    </row>
    <row r="7">
      <c r="A7" s="4" t="s">
        <v>36</v>
      </c>
      <c r="B7" s="8">
        <v>23.0</v>
      </c>
      <c r="C7" s="8">
        <v>0.0</v>
      </c>
      <c r="D7" s="8">
        <v>14.0</v>
      </c>
      <c r="E7" s="8">
        <v>10.0</v>
      </c>
      <c r="F7" s="9">
        <v>0.0</v>
      </c>
      <c r="G7" s="9">
        <v>2.0</v>
      </c>
      <c r="H7" s="9">
        <v>0.0</v>
      </c>
      <c r="I7" s="9">
        <v>0.0</v>
      </c>
      <c r="J7" s="9">
        <v>0.0</v>
      </c>
      <c r="K7" s="8">
        <v>6.0</v>
      </c>
    </row>
    <row r="8">
      <c r="A8" s="4" t="s">
        <v>37</v>
      </c>
      <c r="B8" s="8">
        <v>16.0</v>
      </c>
      <c r="C8" s="8">
        <v>3.0</v>
      </c>
      <c r="D8" s="8">
        <v>13.0</v>
      </c>
      <c r="E8" s="8">
        <v>3.0</v>
      </c>
      <c r="F8" s="9">
        <v>1.0</v>
      </c>
      <c r="G8" s="9">
        <v>0.0</v>
      </c>
      <c r="H8" s="9">
        <v>1.0</v>
      </c>
      <c r="I8" s="9">
        <v>0.0</v>
      </c>
      <c r="J8" s="9">
        <v>1.0</v>
      </c>
      <c r="K8" s="8">
        <v>4.0</v>
      </c>
    </row>
    <row r="9">
      <c r="A9" s="4" t="s">
        <v>38</v>
      </c>
      <c r="B9" s="8">
        <v>31.0</v>
      </c>
      <c r="C9" s="8">
        <v>0.0</v>
      </c>
      <c r="D9" s="8">
        <v>20.0</v>
      </c>
      <c r="E9" s="8">
        <v>19.0</v>
      </c>
      <c r="F9" s="9">
        <v>0.0</v>
      </c>
      <c r="G9" s="9">
        <v>2.0</v>
      </c>
      <c r="H9" s="9">
        <v>1.0</v>
      </c>
      <c r="I9" s="9">
        <v>1.0</v>
      </c>
      <c r="J9" s="9">
        <v>0.0</v>
      </c>
      <c r="K9" s="8">
        <v>7.0</v>
      </c>
    </row>
    <row r="10">
      <c r="A10" s="4" t="s">
        <v>39</v>
      </c>
      <c r="B10" s="8">
        <v>37.0</v>
      </c>
      <c r="C10" s="8">
        <v>16.0</v>
      </c>
      <c r="D10" s="8">
        <v>35.0</v>
      </c>
      <c r="E10" s="8">
        <v>23.0</v>
      </c>
      <c r="F10" s="9">
        <v>0.0</v>
      </c>
      <c r="G10" s="9">
        <v>0.0</v>
      </c>
      <c r="H10" s="9">
        <v>0.0</v>
      </c>
      <c r="I10" s="9">
        <v>10.0</v>
      </c>
      <c r="J10" s="9">
        <v>1.0</v>
      </c>
      <c r="K10" s="8">
        <v>11.0</v>
      </c>
    </row>
    <row r="11">
      <c r="A11" s="10" t="s">
        <v>40</v>
      </c>
      <c r="B11" s="11">
        <v>260.0</v>
      </c>
      <c r="C11" s="11">
        <v>24.0</v>
      </c>
      <c r="D11" s="11">
        <v>192.0</v>
      </c>
      <c r="E11" s="11">
        <v>96.0</v>
      </c>
      <c r="F11" s="11">
        <v>1.0</v>
      </c>
      <c r="G11" s="11">
        <v>12.0</v>
      </c>
      <c r="H11" s="11">
        <v>3.0</v>
      </c>
      <c r="I11" s="11">
        <v>24.0</v>
      </c>
      <c r="J11" s="11">
        <v>11.0</v>
      </c>
      <c r="K11" s="11">
        <v>66.0</v>
      </c>
    </row>
    <row r="12">
      <c r="K12" s="6">
        <v>689.0</v>
      </c>
    </row>
    <row r="14">
      <c r="B14" s="5" t="s">
        <v>41</v>
      </c>
      <c r="L14" s="2"/>
    </row>
    <row r="15">
      <c r="A15" s="1" t="s">
        <v>30</v>
      </c>
      <c r="B15" s="6" t="s">
        <v>5</v>
      </c>
      <c r="C15" s="6" t="s">
        <v>24</v>
      </c>
      <c r="D15" s="6" t="s">
        <v>9</v>
      </c>
      <c r="E15" s="6" t="s">
        <v>26</v>
      </c>
      <c r="F15" s="6" t="s">
        <v>18</v>
      </c>
      <c r="G15" s="6" t="s">
        <v>19</v>
      </c>
      <c r="H15" s="6" t="s">
        <v>20</v>
      </c>
      <c r="I15" s="6" t="s">
        <v>21</v>
      </c>
      <c r="J15" s="6" t="s">
        <v>22</v>
      </c>
      <c r="K15" s="6" t="s">
        <v>31</v>
      </c>
    </row>
    <row r="16">
      <c r="A16" s="4" t="s">
        <v>32</v>
      </c>
      <c r="B16" s="8">
        <v>77.33333333333333</v>
      </c>
      <c r="C16" s="8">
        <v>0.0</v>
      </c>
      <c r="D16" s="8">
        <v>11.047619047619047</v>
      </c>
      <c r="E16" s="8">
        <v>15.322222222222221</v>
      </c>
      <c r="F16" s="8">
        <v>0.0</v>
      </c>
      <c r="G16" s="8">
        <v>1.4444444444444444</v>
      </c>
      <c r="H16" s="8">
        <v>0.0</v>
      </c>
      <c r="I16" s="8">
        <v>0.3333333333333333</v>
      </c>
      <c r="J16" s="8">
        <v>1.6666666666666665</v>
      </c>
      <c r="K16" s="8">
        <v>3.5904761904761906</v>
      </c>
    </row>
    <row r="17">
      <c r="A17" s="4" t="s">
        <v>33</v>
      </c>
      <c r="B17" s="8">
        <v>24.0</v>
      </c>
      <c r="C17" s="8">
        <v>4.0</v>
      </c>
      <c r="D17" s="8">
        <v>4.695238095238095</v>
      </c>
      <c r="E17" s="8">
        <v>9.85</v>
      </c>
      <c r="F17" s="8">
        <v>0.0</v>
      </c>
      <c r="G17" s="8">
        <v>0.3611111111111111</v>
      </c>
      <c r="H17" s="8">
        <v>0.0</v>
      </c>
      <c r="I17" s="8">
        <v>0.3333333333333333</v>
      </c>
      <c r="J17" s="8">
        <v>0.3333333333333333</v>
      </c>
      <c r="K17" s="8">
        <v>1.1047619047619048</v>
      </c>
    </row>
    <row r="18">
      <c r="A18" s="4" t="s">
        <v>34</v>
      </c>
      <c r="B18" s="8">
        <v>50.666666666666664</v>
      </c>
      <c r="C18" s="8">
        <v>0.0</v>
      </c>
      <c r="D18" s="8">
        <v>6.628571428571429</v>
      </c>
      <c r="E18" s="8">
        <v>7.6611111111111105</v>
      </c>
      <c r="F18" s="8">
        <v>0.0</v>
      </c>
      <c r="G18" s="8">
        <v>0.7222222222222222</v>
      </c>
      <c r="H18" s="8">
        <v>0.0</v>
      </c>
      <c r="I18" s="8">
        <v>1.6666666666666665</v>
      </c>
      <c r="J18" s="8">
        <v>0.3333333333333333</v>
      </c>
      <c r="K18" s="8">
        <v>2.761904761904762</v>
      </c>
    </row>
    <row r="19">
      <c r="A19" s="4" t="s">
        <v>35</v>
      </c>
      <c r="B19" s="8">
        <v>52.0</v>
      </c>
      <c r="C19" s="8">
        <v>6.0</v>
      </c>
      <c r="D19" s="8">
        <v>8.00952380952381</v>
      </c>
      <c r="E19" s="8">
        <v>12.038888888888888</v>
      </c>
      <c r="F19" s="8">
        <v>0.0</v>
      </c>
      <c r="G19" s="8">
        <v>0.3611111111111111</v>
      </c>
      <c r="H19" s="8">
        <v>0.3333333333333333</v>
      </c>
      <c r="I19" s="8">
        <v>2.0</v>
      </c>
      <c r="J19" s="8">
        <v>0.6666666666666666</v>
      </c>
      <c r="K19" s="8">
        <v>3.0380952380952384</v>
      </c>
    </row>
    <row r="20">
      <c r="A20" s="4" t="s">
        <v>36</v>
      </c>
      <c r="B20" s="8">
        <v>30.666666666666664</v>
      </c>
      <c r="C20" s="8">
        <v>0.0</v>
      </c>
      <c r="D20" s="8">
        <v>3.866666666666667</v>
      </c>
      <c r="E20" s="8">
        <v>10.944444444444443</v>
      </c>
      <c r="F20" s="8">
        <v>0.0</v>
      </c>
      <c r="G20" s="8">
        <v>0.7222222222222222</v>
      </c>
      <c r="H20" s="8">
        <v>0.0</v>
      </c>
      <c r="I20" s="8">
        <v>0.0</v>
      </c>
      <c r="J20" s="8">
        <v>0.0</v>
      </c>
      <c r="K20" s="8">
        <v>1.6571428571428573</v>
      </c>
    </row>
    <row r="21">
      <c r="A21" s="4" t="s">
        <v>37</v>
      </c>
      <c r="B21" s="8">
        <v>21.333333333333332</v>
      </c>
      <c r="C21" s="8">
        <v>6.0</v>
      </c>
      <c r="D21" s="8">
        <v>3.5904761904761906</v>
      </c>
      <c r="E21" s="8">
        <v>3.283333333333333</v>
      </c>
      <c r="F21" s="8">
        <v>3.25</v>
      </c>
      <c r="G21" s="8">
        <v>0.0</v>
      </c>
      <c r="H21" s="8">
        <v>0.3333333333333333</v>
      </c>
      <c r="I21" s="8">
        <v>0.0</v>
      </c>
      <c r="J21" s="8">
        <v>0.3333333333333333</v>
      </c>
      <c r="K21" s="8">
        <v>1.1047619047619048</v>
      </c>
    </row>
    <row r="22">
      <c r="A22" s="4" t="s">
        <v>38</v>
      </c>
      <c r="B22" s="8">
        <v>41.33333333333333</v>
      </c>
      <c r="C22" s="8">
        <v>0.0</v>
      </c>
      <c r="D22" s="8">
        <v>5.523809523809524</v>
      </c>
      <c r="E22" s="8">
        <v>20.79444444444444</v>
      </c>
      <c r="F22" s="8">
        <v>0.0</v>
      </c>
      <c r="G22" s="8">
        <v>0.7222222222222222</v>
      </c>
      <c r="H22" s="8">
        <v>0.3333333333333333</v>
      </c>
      <c r="I22" s="8">
        <v>0.3333333333333333</v>
      </c>
      <c r="J22" s="8">
        <v>0.0</v>
      </c>
      <c r="K22" s="8">
        <v>1.9333333333333336</v>
      </c>
    </row>
    <row r="23">
      <c r="A23" s="4" t="s">
        <v>39</v>
      </c>
      <c r="B23" s="8">
        <v>49.33333333333333</v>
      </c>
      <c r="C23" s="8">
        <v>32.0</v>
      </c>
      <c r="D23" s="8">
        <v>9.666666666666668</v>
      </c>
      <c r="E23" s="8">
        <v>25.17222222222222</v>
      </c>
      <c r="F23" s="8">
        <v>0.0</v>
      </c>
      <c r="G23" s="8">
        <v>0.0</v>
      </c>
      <c r="H23" s="8">
        <v>0.0</v>
      </c>
      <c r="I23" s="8">
        <v>3.333333333333333</v>
      </c>
      <c r="J23" s="8">
        <v>0.3333333333333333</v>
      </c>
      <c r="K23" s="8">
        <v>3.0380952380952384</v>
      </c>
    </row>
    <row r="24">
      <c r="A24" s="10" t="s">
        <v>40</v>
      </c>
      <c r="B24" s="11">
        <v>346.66666666666663</v>
      </c>
      <c r="C24" s="11">
        <v>48.0</v>
      </c>
      <c r="D24" s="11">
        <v>53.02857142857144</v>
      </c>
      <c r="E24" s="11">
        <v>105.06666666666665</v>
      </c>
      <c r="F24" s="11">
        <v>3.25</v>
      </c>
      <c r="G24" s="11">
        <v>4.333333333333333</v>
      </c>
      <c r="H24" s="11">
        <v>1.0</v>
      </c>
      <c r="I24" s="11">
        <v>7.999999999999999</v>
      </c>
      <c r="J24" s="11">
        <v>3.6666666666666665</v>
      </c>
      <c r="K24" s="11">
        <v>18.228571428571428</v>
      </c>
    </row>
    <row r="25">
      <c r="K25" s="6">
        <v>591.2404761904761</v>
      </c>
    </row>
    <row r="27">
      <c r="B27" s="5" t="s">
        <v>42</v>
      </c>
    </row>
    <row r="28">
      <c r="A28" s="1" t="s">
        <v>30</v>
      </c>
      <c r="B28" s="6" t="s">
        <v>5</v>
      </c>
      <c r="C28" s="6" t="s">
        <v>24</v>
      </c>
      <c r="D28" s="6" t="s">
        <v>9</v>
      </c>
      <c r="E28" s="6" t="s">
        <v>26</v>
      </c>
      <c r="F28" s="6" t="s">
        <v>18</v>
      </c>
      <c r="G28" s="6" t="s">
        <v>19</v>
      </c>
      <c r="H28" s="6" t="s">
        <v>20</v>
      </c>
      <c r="I28" s="6" t="s">
        <v>21</v>
      </c>
      <c r="J28" s="6" t="s">
        <v>22</v>
      </c>
      <c r="K28" s="6" t="s">
        <v>31</v>
      </c>
    </row>
    <row r="29">
      <c r="A29" s="4" t="s">
        <v>32</v>
      </c>
      <c r="B29" s="8">
        <v>33253.33333333333</v>
      </c>
      <c r="C29" s="8">
        <v>0.0</v>
      </c>
      <c r="D29" s="8">
        <v>4750.476190476191</v>
      </c>
      <c r="E29" s="8">
        <v>6588.555555555555</v>
      </c>
      <c r="F29" s="8">
        <v>0.0</v>
      </c>
      <c r="G29" s="8">
        <v>621.1111111111111</v>
      </c>
      <c r="H29" s="8">
        <v>0.0</v>
      </c>
      <c r="I29" s="8">
        <v>143.33333333333331</v>
      </c>
      <c r="J29" s="8">
        <v>716.6666666666666</v>
      </c>
      <c r="K29" s="8">
        <v>1543.904761904762</v>
      </c>
    </row>
    <row r="30">
      <c r="A30" s="4" t="s">
        <v>33</v>
      </c>
      <c r="B30" s="8">
        <v>10320.0</v>
      </c>
      <c r="C30" s="8">
        <v>1720.0</v>
      </c>
      <c r="D30" s="8">
        <v>2018.952380952381</v>
      </c>
      <c r="E30" s="8">
        <v>4235.5</v>
      </c>
      <c r="F30" s="8">
        <v>0.0</v>
      </c>
      <c r="G30" s="8">
        <v>155.27777777777777</v>
      </c>
      <c r="H30" s="8">
        <v>0.0</v>
      </c>
      <c r="I30" s="8">
        <v>143.33333333333331</v>
      </c>
      <c r="J30" s="8">
        <v>143.33333333333331</v>
      </c>
      <c r="K30" s="8">
        <v>475.0476190476191</v>
      </c>
    </row>
    <row r="31">
      <c r="A31" s="4" t="s">
        <v>34</v>
      </c>
      <c r="B31" s="8">
        <v>21786.666666666664</v>
      </c>
      <c r="C31" s="8">
        <v>0.0</v>
      </c>
      <c r="D31" s="8">
        <v>2850.2857142857147</v>
      </c>
      <c r="E31" s="8">
        <v>3294.2777777777774</v>
      </c>
      <c r="F31" s="8">
        <v>0.0</v>
      </c>
      <c r="G31" s="8">
        <v>310.55555555555554</v>
      </c>
      <c r="H31" s="8">
        <v>0.0</v>
      </c>
      <c r="I31" s="8">
        <v>716.6666666666666</v>
      </c>
      <c r="J31" s="8">
        <v>143.33333333333331</v>
      </c>
      <c r="K31" s="8">
        <v>1187.6190476190477</v>
      </c>
    </row>
    <row r="32">
      <c r="A32" s="4" t="s">
        <v>35</v>
      </c>
      <c r="B32" s="8">
        <v>22360.0</v>
      </c>
      <c r="C32" s="8">
        <v>2580.0</v>
      </c>
      <c r="D32" s="8">
        <v>3444.095238095238</v>
      </c>
      <c r="E32" s="8">
        <v>5176.722222222222</v>
      </c>
      <c r="F32" s="8">
        <v>0.0</v>
      </c>
      <c r="G32" s="8">
        <v>155.27777777777777</v>
      </c>
      <c r="H32" s="8">
        <v>143.33333333333331</v>
      </c>
      <c r="I32" s="8">
        <v>860.0</v>
      </c>
      <c r="J32" s="8">
        <v>286.66666666666663</v>
      </c>
      <c r="K32" s="8">
        <v>1306.3809523809525</v>
      </c>
    </row>
    <row r="33">
      <c r="A33" s="4" t="s">
        <v>36</v>
      </c>
      <c r="B33" s="8">
        <v>13186.666666666666</v>
      </c>
      <c r="C33" s="8">
        <v>0.0</v>
      </c>
      <c r="D33" s="8">
        <v>1662.666666666667</v>
      </c>
      <c r="E33" s="8">
        <v>4706.11111111111</v>
      </c>
      <c r="F33" s="8">
        <v>0.0</v>
      </c>
      <c r="G33" s="8">
        <v>310.55555555555554</v>
      </c>
      <c r="H33" s="8">
        <v>0.0</v>
      </c>
      <c r="I33" s="8">
        <v>0.0</v>
      </c>
      <c r="J33" s="8">
        <v>0.0</v>
      </c>
      <c r="K33" s="8">
        <v>712.5714285714287</v>
      </c>
    </row>
    <row r="34">
      <c r="A34" s="4" t="s">
        <v>37</v>
      </c>
      <c r="B34" s="8">
        <v>9173.333333333332</v>
      </c>
      <c r="C34" s="8">
        <v>2580.0</v>
      </c>
      <c r="D34" s="8">
        <v>1543.904761904762</v>
      </c>
      <c r="E34" s="8">
        <v>1411.8333333333333</v>
      </c>
      <c r="F34" s="8">
        <v>1397.5</v>
      </c>
      <c r="G34" s="8">
        <v>0.0</v>
      </c>
      <c r="H34" s="8">
        <v>143.33333333333331</v>
      </c>
      <c r="I34" s="8">
        <v>0.0</v>
      </c>
      <c r="J34" s="8">
        <v>143.33333333333331</v>
      </c>
      <c r="K34" s="8">
        <v>475.0476190476191</v>
      </c>
    </row>
    <row r="35">
      <c r="A35" s="4" t="s">
        <v>38</v>
      </c>
      <c r="B35" s="8">
        <v>17773.333333333332</v>
      </c>
      <c r="C35" s="8">
        <v>0.0</v>
      </c>
      <c r="D35" s="8">
        <v>2375.2380952380954</v>
      </c>
      <c r="E35" s="8">
        <v>8941.61111111111</v>
      </c>
      <c r="F35" s="8">
        <v>0.0</v>
      </c>
      <c r="G35" s="8">
        <v>310.55555555555554</v>
      </c>
      <c r="H35" s="8">
        <v>143.33333333333331</v>
      </c>
      <c r="I35" s="8">
        <v>143.33333333333331</v>
      </c>
      <c r="J35" s="8">
        <v>0.0</v>
      </c>
      <c r="K35" s="8">
        <v>831.3333333333335</v>
      </c>
    </row>
    <row r="36">
      <c r="A36" s="4" t="s">
        <v>39</v>
      </c>
      <c r="B36" s="8">
        <v>21213.333333333332</v>
      </c>
      <c r="C36" s="8">
        <v>13760.0</v>
      </c>
      <c r="D36" s="8">
        <v>4156.666666666667</v>
      </c>
      <c r="E36" s="8">
        <v>10824.055555555555</v>
      </c>
      <c r="F36" s="8">
        <v>0.0</v>
      </c>
      <c r="G36" s="8">
        <v>0.0</v>
      </c>
      <c r="H36" s="8">
        <v>0.0</v>
      </c>
      <c r="I36" s="8">
        <v>1433.3333333333333</v>
      </c>
      <c r="J36" s="8">
        <v>143.33333333333331</v>
      </c>
      <c r="K36" s="8">
        <v>1306.3809523809525</v>
      </c>
    </row>
    <row r="37">
      <c r="A37" s="10" t="s">
        <v>40</v>
      </c>
      <c r="B37" s="11">
        <v>149066.66666666666</v>
      </c>
      <c r="C37" s="11">
        <v>20640.0</v>
      </c>
      <c r="D37" s="11">
        <v>22802.285714285714</v>
      </c>
      <c r="E37" s="11">
        <v>45178.666666666664</v>
      </c>
      <c r="F37" s="11">
        <v>1397.5</v>
      </c>
      <c r="G37" s="11">
        <v>1863.3333333333335</v>
      </c>
      <c r="H37" s="11">
        <v>429.99999999999994</v>
      </c>
      <c r="I37" s="11">
        <v>3440.0</v>
      </c>
      <c r="J37" s="11">
        <v>1576.6666666666665</v>
      </c>
      <c r="K37" s="11">
        <v>7838.285714285714</v>
      </c>
    </row>
    <row r="38">
      <c r="K38" s="6">
        <v>254233.40476190473</v>
      </c>
    </row>
  </sheetData>
  <mergeCells count="3">
    <mergeCell ref="B1:K1"/>
    <mergeCell ref="B14:K14"/>
    <mergeCell ref="B27:K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43</v>
      </c>
      <c r="E1" s="6" t="s">
        <v>44</v>
      </c>
      <c r="F1" s="6"/>
      <c r="G1" s="6" t="s">
        <v>40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4</v>
      </c>
      <c r="B2" s="8" t="s">
        <v>5</v>
      </c>
      <c r="C2" s="8">
        <v>1.3333333333333333</v>
      </c>
      <c r="D2" s="8">
        <v>61.33333333333333</v>
      </c>
      <c r="E2" s="8">
        <v>26373.333333333332</v>
      </c>
      <c r="G2" s="8" t="s">
        <v>5</v>
      </c>
      <c r="H2" s="8">
        <v>143333.3333333333</v>
      </c>
    </row>
    <row r="3">
      <c r="A3" s="8" t="s">
        <v>8</v>
      </c>
      <c r="B3" s="8" t="s">
        <v>9</v>
      </c>
      <c r="C3" s="8">
        <v>0.2761904761904762</v>
      </c>
      <c r="D3" s="8">
        <v>4.9714285714285715</v>
      </c>
      <c r="E3" s="8">
        <v>2137.714285714286</v>
      </c>
      <c r="G3" s="8" t="s">
        <v>24</v>
      </c>
      <c r="H3" s="8">
        <v>20640.0</v>
      </c>
    </row>
    <row r="4">
      <c r="A4" s="8" t="s">
        <v>11</v>
      </c>
      <c r="B4" s="8" t="s">
        <v>5</v>
      </c>
      <c r="C4" s="8">
        <v>1.3333333333333333</v>
      </c>
      <c r="D4" s="8">
        <v>41.33333333333333</v>
      </c>
      <c r="E4" s="8">
        <v>17773.333333333332</v>
      </c>
      <c r="G4" s="8" t="s">
        <v>9</v>
      </c>
      <c r="H4" s="8">
        <v>22802.285714285714</v>
      </c>
    </row>
    <row r="5">
      <c r="A5" s="8" t="s">
        <v>12</v>
      </c>
      <c r="B5" s="8" t="s">
        <v>5</v>
      </c>
      <c r="C5" s="8">
        <v>1.3333333333333333</v>
      </c>
      <c r="D5" s="8">
        <v>188.0</v>
      </c>
      <c r="E5" s="8">
        <v>80840.0</v>
      </c>
      <c r="G5" s="8" t="s">
        <v>26</v>
      </c>
      <c r="H5" s="8">
        <v>45178.666666666664</v>
      </c>
    </row>
    <row r="6">
      <c r="A6" s="8" t="s">
        <v>13</v>
      </c>
      <c r="B6" s="8" t="s">
        <v>14</v>
      </c>
      <c r="C6" s="8">
        <v>0.0</v>
      </c>
      <c r="D6" s="8">
        <v>0.0</v>
      </c>
      <c r="E6" s="8">
        <v>0.0</v>
      </c>
      <c r="G6" s="8" t="s">
        <v>18</v>
      </c>
      <c r="H6" s="8">
        <v>18167.5</v>
      </c>
    </row>
    <row r="7">
      <c r="A7" s="8" t="s">
        <v>15</v>
      </c>
      <c r="B7" s="8" t="s">
        <v>14</v>
      </c>
      <c r="C7" s="8">
        <v>0.0</v>
      </c>
      <c r="D7" s="8">
        <v>0.0</v>
      </c>
      <c r="E7" s="8">
        <v>0.0</v>
      </c>
      <c r="G7" s="8" t="s">
        <v>19</v>
      </c>
      <c r="H7" s="8">
        <v>0.0</v>
      </c>
    </row>
    <row r="8">
      <c r="A8" s="8" t="s">
        <v>16</v>
      </c>
      <c r="B8" s="8" t="s">
        <v>5</v>
      </c>
      <c r="C8" s="8">
        <v>1.3333333333333333</v>
      </c>
      <c r="D8" s="8">
        <v>42.666666666666664</v>
      </c>
      <c r="E8" s="8">
        <v>18346.666666666664</v>
      </c>
      <c r="G8" s="8" t="s">
        <v>20</v>
      </c>
      <c r="H8" s="8">
        <v>430.0</v>
      </c>
    </row>
    <row r="9">
      <c r="A9" s="8" t="s">
        <v>17</v>
      </c>
      <c r="B9" s="8" t="s">
        <v>18</v>
      </c>
      <c r="C9" s="8">
        <v>3.25</v>
      </c>
      <c r="D9" s="8">
        <v>42.25</v>
      </c>
      <c r="E9" s="8">
        <v>18167.5</v>
      </c>
      <c r="G9" s="8" t="s">
        <v>21</v>
      </c>
      <c r="H9" s="8">
        <v>3440.0</v>
      </c>
    </row>
    <row r="10">
      <c r="A10" s="8" t="s">
        <v>17</v>
      </c>
      <c r="B10" s="8" t="s">
        <v>19</v>
      </c>
      <c r="C10" s="8">
        <v>0.3611111111111111</v>
      </c>
      <c r="D10" s="8">
        <v>0.0</v>
      </c>
      <c r="E10" s="8">
        <v>0.0</v>
      </c>
      <c r="G10" s="8" t="s">
        <v>22</v>
      </c>
      <c r="H10" s="8">
        <v>1576.6666666666665</v>
      </c>
    </row>
    <row r="11">
      <c r="A11" s="8" t="s">
        <v>17</v>
      </c>
      <c r="B11" s="8" t="s">
        <v>20</v>
      </c>
      <c r="C11" s="8">
        <v>0.3333333333333333</v>
      </c>
      <c r="D11" s="8">
        <v>1.0</v>
      </c>
      <c r="E11" s="8">
        <v>430.0</v>
      </c>
      <c r="G11" s="8" t="s">
        <v>31</v>
      </c>
      <c r="H11" s="8">
        <v>7838.285714285716</v>
      </c>
    </row>
    <row r="12">
      <c r="A12" s="8" t="s">
        <v>17</v>
      </c>
      <c r="B12" s="8" t="s">
        <v>21</v>
      </c>
      <c r="C12" s="8">
        <v>0.3333333333333333</v>
      </c>
      <c r="D12" s="8">
        <v>8.0</v>
      </c>
      <c r="E12" s="8">
        <v>3440.0</v>
      </c>
    </row>
    <row r="13">
      <c r="A13" s="8" t="s">
        <v>17</v>
      </c>
      <c r="B13" s="8" t="s">
        <v>22</v>
      </c>
      <c r="C13" s="8">
        <v>0.3333333333333333</v>
      </c>
      <c r="D13" s="8">
        <v>3.6666666666666665</v>
      </c>
      <c r="E13" s="8">
        <v>1576.6666666666665</v>
      </c>
      <c r="H13" s="8">
        <v>263406.73809523805</v>
      </c>
    </row>
    <row r="14">
      <c r="A14" s="8" t="s">
        <v>23</v>
      </c>
      <c r="B14" s="8" t="s">
        <v>24</v>
      </c>
      <c r="C14" s="8">
        <v>2.0</v>
      </c>
      <c r="D14" s="8">
        <v>48.0</v>
      </c>
      <c r="E14" s="8">
        <v>20640.0</v>
      </c>
    </row>
    <row r="15">
      <c r="A15" s="8" t="s">
        <v>25</v>
      </c>
      <c r="B15" s="8" t="s">
        <v>26</v>
      </c>
      <c r="C15" s="8">
        <v>1.0944444444444443</v>
      </c>
      <c r="D15" s="8">
        <v>105.06666666666666</v>
      </c>
      <c r="E15" s="8">
        <v>45178.666666666664</v>
      </c>
    </row>
    <row r="16">
      <c r="A16" s="8" t="s">
        <v>27</v>
      </c>
      <c r="B16" s="8" t="s">
        <v>9</v>
      </c>
      <c r="C16" s="8">
        <v>0.2761904761904762</v>
      </c>
      <c r="D16" s="8">
        <v>48.05714285714286</v>
      </c>
      <c r="E16" s="8">
        <v>20664.571428571428</v>
      </c>
    </row>
    <row r="17">
      <c r="A17" s="8" t="s">
        <v>28</v>
      </c>
      <c r="B17" s="8" t="s">
        <v>14</v>
      </c>
      <c r="C17" s="8">
        <v>0.2761904761904762</v>
      </c>
      <c r="D17" s="8">
        <v>18.22857142857143</v>
      </c>
      <c r="E17" s="8">
        <v>7838.285714285716</v>
      </c>
    </row>
    <row r="19">
      <c r="A19" s="6" t="s">
        <v>40</v>
      </c>
      <c r="B19" s="6"/>
      <c r="D19" s="8">
        <v>612.5738095238095</v>
      </c>
      <c r="E19" s="8">
        <v>263406.73809523805</v>
      </c>
    </row>
    <row r="20">
      <c r="A20" s="6"/>
      <c r="B20" s="6"/>
    </row>
    <row r="21">
      <c r="A21" s="6" t="s">
        <v>3</v>
      </c>
    </row>
    <row r="22">
      <c r="A22" s="6" t="s">
        <v>6</v>
      </c>
      <c r="B22" s="6" t="s">
        <v>7</v>
      </c>
    </row>
    <row r="23">
      <c r="A23" s="8" t="s">
        <v>10</v>
      </c>
      <c r="B23" s="8">
        <v>430.0</v>
      </c>
    </row>
  </sheetData>
  <mergeCells count="1">
    <mergeCell ref="A21:B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43</v>
      </c>
      <c r="E1" s="6" t="s">
        <v>44</v>
      </c>
      <c r="F1" s="6"/>
      <c r="G1" s="6" t="s">
        <v>40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4</v>
      </c>
      <c r="B2" s="8" t="s">
        <v>5</v>
      </c>
      <c r="C2" s="8">
        <v>1.3333333333333333</v>
      </c>
      <c r="D2" s="8">
        <v>61.33333333333333</v>
      </c>
      <c r="E2" s="8">
        <v>26373.333333333332</v>
      </c>
      <c r="G2" s="8" t="s">
        <v>5</v>
      </c>
      <c r="H2" s="8">
        <v>148493.3333333333</v>
      </c>
    </row>
    <row r="3">
      <c r="A3" s="8" t="s">
        <v>8</v>
      </c>
      <c r="B3" s="8" t="s">
        <v>9</v>
      </c>
      <c r="C3" s="8">
        <v>0.2761904761904762</v>
      </c>
      <c r="D3" s="8">
        <v>5.247619047619048</v>
      </c>
      <c r="E3" s="8">
        <v>2256.4761904761904</v>
      </c>
      <c r="G3" s="8" t="s">
        <v>24</v>
      </c>
      <c r="H3" s="8">
        <v>20640.0</v>
      </c>
    </row>
    <row r="4">
      <c r="A4" s="8" t="s">
        <v>11</v>
      </c>
      <c r="B4" s="8" t="s">
        <v>5</v>
      </c>
      <c r="C4" s="8">
        <v>1.3333333333333333</v>
      </c>
      <c r="D4" s="8">
        <v>41.33333333333333</v>
      </c>
      <c r="E4" s="8">
        <v>17773.333333333332</v>
      </c>
      <c r="G4" s="8" t="s">
        <v>9</v>
      </c>
      <c r="H4" s="8">
        <v>22921.04761904762</v>
      </c>
    </row>
    <row r="5">
      <c r="A5" s="8" t="s">
        <v>12</v>
      </c>
      <c r="B5" s="8" t="s">
        <v>5</v>
      </c>
      <c r="C5" s="8">
        <v>1.3333333333333333</v>
      </c>
      <c r="D5" s="8">
        <v>200.0</v>
      </c>
      <c r="E5" s="8">
        <v>86000.0</v>
      </c>
      <c r="G5" s="8" t="s">
        <v>26</v>
      </c>
      <c r="H5" s="8">
        <v>45649.277777777774</v>
      </c>
    </row>
    <row r="6">
      <c r="A6" s="8" t="s">
        <v>13</v>
      </c>
      <c r="B6" s="8" t="s">
        <v>14</v>
      </c>
      <c r="C6" s="8">
        <v>0.0</v>
      </c>
      <c r="D6" s="8">
        <v>0.0</v>
      </c>
      <c r="E6" s="8">
        <v>0.0</v>
      </c>
      <c r="G6" s="8" t="s">
        <v>18</v>
      </c>
      <c r="H6" s="8">
        <v>1397.5</v>
      </c>
    </row>
    <row r="7">
      <c r="A7" s="8" t="s">
        <v>15</v>
      </c>
      <c r="B7" s="8" t="s">
        <v>14</v>
      </c>
      <c r="C7" s="8">
        <v>0.0</v>
      </c>
      <c r="D7" s="8">
        <v>0.0</v>
      </c>
      <c r="E7" s="8">
        <v>0.0</v>
      </c>
      <c r="G7" s="8" t="s">
        <v>19</v>
      </c>
      <c r="H7" s="8">
        <v>1552.7777777777778</v>
      </c>
    </row>
    <row r="8">
      <c r="A8" s="8" t="s">
        <v>16</v>
      </c>
      <c r="B8" s="8" t="s">
        <v>5</v>
      </c>
      <c r="C8" s="8">
        <v>1.3333333333333333</v>
      </c>
      <c r="D8" s="8">
        <v>42.666666666666664</v>
      </c>
      <c r="E8" s="8">
        <v>18346.666666666664</v>
      </c>
      <c r="G8" s="8" t="s">
        <v>20</v>
      </c>
      <c r="H8" s="8">
        <v>430.0</v>
      </c>
    </row>
    <row r="9">
      <c r="A9" s="8" t="s">
        <v>17</v>
      </c>
      <c r="B9" s="8" t="s">
        <v>18</v>
      </c>
      <c r="C9" s="8">
        <v>3.25</v>
      </c>
      <c r="D9" s="8">
        <v>3.25</v>
      </c>
      <c r="E9" s="8">
        <v>1397.5</v>
      </c>
      <c r="G9" s="8" t="s">
        <v>21</v>
      </c>
      <c r="H9" s="8">
        <v>3440.0</v>
      </c>
    </row>
    <row r="10">
      <c r="A10" s="8" t="s">
        <v>17</v>
      </c>
      <c r="B10" s="8" t="s">
        <v>19</v>
      </c>
      <c r="C10" s="8">
        <v>0.3611111111111111</v>
      </c>
      <c r="D10" s="8">
        <v>3.611111111111111</v>
      </c>
      <c r="E10" s="8">
        <v>1552.7777777777778</v>
      </c>
      <c r="G10" s="8" t="s">
        <v>22</v>
      </c>
      <c r="H10" s="8">
        <v>1720.0</v>
      </c>
    </row>
    <row r="11">
      <c r="A11" s="8" t="s">
        <v>17</v>
      </c>
      <c r="B11" s="8" t="s">
        <v>20</v>
      </c>
      <c r="C11" s="8">
        <v>0.3333333333333333</v>
      </c>
      <c r="D11" s="8">
        <v>1.0</v>
      </c>
      <c r="E11" s="8">
        <v>430.0</v>
      </c>
      <c r="G11" s="8" t="s">
        <v>31</v>
      </c>
      <c r="H11" s="8">
        <v>7600.7619047619055</v>
      </c>
    </row>
    <row r="12">
      <c r="A12" s="8" t="s">
        <v>17</v>
      </c>
      <c r="B12" s="8" t="s">
        <v>21</v>
      </c>
      <c r="C12" s="8">
        <v>0.3333333333333333</v>
      </c>
      <c r="D12" s="8">
        <v>8.0</v>
      </c>
      <c r="E12" s="8">
        <v>3440.0</v>
      </c>
    </row>
    <row r="13">
      <c r="A13" s="8" t="s">
        <v>17</v>
      </c>
      <c r="B13" s="8" t="s">
        <v>22</v>
      </c>
      <c r="C13" s="8">
        <v>0.3333333333333333</v>
      </c>
      <c r="D13" s="8">
        <v>4.0</v>
      </c>
      <c r="E13" s="8">
        <v>1720.0</v>
      </c>
      <c r="H13" s="8">
        <v>253844.6984126984</v>
      </c>
    </row>
    <row r="14">
      <c r="A14" s="8" t="s">
        <v>23</v>
      </c>
      <c r="B14" s="8" t="s">
        <v>24</v>
      </c>
      <c r="C14" s="8">
        <v>2.0</v>
      </c>
      <c r="D14" s="8">
        <v>48.0</v>
      </c>
      <c r="E14" s="8">
        <v>20640.0</v>
      </c>
    </row>
    <row r="15">
      <c r="A15" s="8" t="s">
        <v>25</v>
      </c>
      <c r="B15" s="8" t="s">
        <v>26</v>
      </c>
      <c r="C15" s="8">
        <v>1.0944444444444443</v>
      </c>
      <c r="D15" s="8">
        <v>106.1611111111111</v>
      </c>
      <c r="E15" s="8">
        <v>45649.277777777774</v>
      </c>
    </row>
    <row r="16">
      <c r="A16" s="8" t="s">
        <v>27</v>
      </c>
      <c r="B16" s="8" t="s">
        <v>9</v>
      </c>
      <c r="C16" s="8">
        <v>0.2761904761904762</v>
      </c>
      <c r="D16" s="8">
        <v>48.05714285714286</v>
      </c>
      <c r="E16" s="8">
        <v>20664.571428571428</v>
      </c>
    </row>
    <row r="17">
      <c r="A17" s="8" t="s">
        <v>28</v>
      </c>
      <c r="B17" s="8" t="s">
        <v>14</v>
      </c>
      <c r="C17" s="8">
        <v>0.2761904761904762</v>
      </c>
      <c r="D17" s="8">
        <v>17.676190476190477</v>
      </c>
      <c r="E17" s="8">
        <v>7600.7619047619055</v>
      </c>
    </row>
    <row r="19">
      <c r="A19" s="6" t="s">
        <v>40</v>
      </c>
      <c r="B19" s="6"/>
      <c r="D19" s="8">
        <v>590.3365079365079</v>
      </c>
      <c r="E19" s="8">
        <v>253844.69841269837</v>
      </c>
    </row>
    <row r="20">
      <c r="A20" s="6"/>
      <c r="B20" s="6"/>
    </row>
    <row r="21">
      <c r="A21" s="6" t="s">
        <v>3</v>
      </c>
    </row>
    <row r="22">
      <c r="A22" s="6" t="s">
        <v>6</v>
      </c>
      <c r="B22" s="6" t="s">
        <v>7</v>
      </c>
    </row>
    <row r="23">
      <c r="A23" s="8" t="s">
        <v>10</v>
      </c>
      <c r="B23" s="8">
        <v>430.0</v>
      </c>
    </row>
  </sheetData>
  <mergeCells count="1">
    <mergeCell ref="A21:B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43</v>
      </c>
      <c r="E1" s="12" t="s">
        <v>44</v>
      </c>
      <c r="F1" s="13"/>
      <c r="G1" s="12" t="s">
        <v>40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8" t="s">
        <v>4</v>
      </c>
      <c r="B2" s="13" t="s">
        <v>5</v>
      </c>
      <c r="C2" s="8">
        <v>1.3333333333333333</v>
      </c>
      <c r="D2" s="8">
        <v>37.33333333333333</v>
      </c>
      <c r="E2" s="8">
        <v>16053.333333333332</v>
      </c>
      <c r="G2" s="8" t="s">
        <v>5</v>
      </c>
      <c r="H2" s="8">
        <v>201239.99999999997</v>
      </c>
    </row>
    <row r="3">
      <c r="A3" s="8" t="s">
        <v>8</v>
      </c>
      <c r="B3" s="13" t="s">
        <v>9</v>
      </c>
      <c r="C3" s="8">
        <v>0.2761904761904762</v>
      </c>
      <c r="D3" s="8">
        <v>11.323809523809524</v>
      </c>
      <c r="E3" s="8">
        <v>4869.238095238095</v>
      </c>
      <c r="G3" s="8" t="s">
        <v>24</v>
      </c>
      <c r="H3" s="8">
        <v>24080.0</v>
      </c>
    </row>
    <row r="4">
      <c r="A4" s="8" t="s">
        <v>11</v>
      </c>
      <c r="B4" s="13" t="s">
        <v>5</v>
      </c>
      <c r="C4" s="8">
        <v>1.3333333333333333</v>
      </c>
      <c r="D4" s="8">
        <v>101.33333333333333</v>
      </c>
      <c r="E4" s="8">
        <v>43573.33333333333</v>
      </c>
      <c r="G4" s="8" t="s">
        <v>9</v>
      </c>
      <c r="H4" s="8">
        <v>39191.42857142858</v>
      </c>
    </row>
    <row r="5">
      <c r="A5" s="8" t="s">
        <v>12</v>
      </c>
      <c r="B5" s="13" t="s">
        <v>5</v>
      </c>
      <c r="C5" s="8">
        <v>1.3333333333333333</v>
      </c>
      <c r="D5" s="8">
        <v>295.99999999999994</v>
      </c>
      <c r="E5" s="8">
        <v>127279.99999999997</v>
      </c>
      <c r="G5" s="8" t="s">
        <v>26</v>
      </c>
      <c r="H5" s="8">
        <v>98828.33333333331</v>
      </c>
    </row>
    <row r="6">
      <c r="A6" s="8" t="s">
        <v>13</v>
      </c>
      <c r="B6" s="13" t="s">
        <v>14</v>
      </c>
      <c r="C6" s="8">
        <v>0.0</v>
      </c>
      <c r="D6" s="8">
        <v>0.0</v>
      </c>
      <c r="E6" s="8">
        <v>0.0</v>
      </c>
      <c r="G6" s="8" t="s">
        <v>18</v>
      </c>
      <c r="H6" s="8">
        <v>1397.5</v>
      </c>
    </row>
    <row r="7">
      <c r="A7" s="8" t="s">
        <v>15</v>
      </c>
      <c r="B7" s="13" t="s">
        <v>14</v>
      </c>
      <c r="C7" s="8">
        <v>0.0</v>
      </c>
      <c r="D7" s="8">
        <v>0.0</v>
      </c>
      <c r="E7" s="8">
        <v>0.0</v>
      </c>
      <c r="G7" s="8" t="s">
        <v>19</v>
      </c>
      <c r="H7" s="8">
        <v>7298.055555555556</v>
      </c>
    </row>
    <row r="8">
      <c r="A8" s="8" t="s">
        <v>16</v>
      </c>
      <c r="B8" s="13" t="s">
        <v>5</v>
      </c>
      <c r="C8" s="8">
        <v>1.3333333333333333</v>
      </c>
      <c r="D8" s="8">
        <v>33.33333333333333</v>
      </c>
      <c r="E8" s="8">
        <v>14333.333333333332</v>
      </c>
      <c r="G8" s="8" t="s">
        <v>20</v>
      </c>
      <c r="H8" s="8">
        <v>430.0</v>
      </c>
    </row>
    <row r="9">
      <c r="A9" s="8" t="s">
        <v>17</v>
      </c>
      <c r="B9" s="13" t="s">
        <v>18</v>
      </c>
      <c r="C9" s="8">
        <v>3.25</v>
      </c>
      <c r="D9" s="8">
        <v>3.25</v>
      </c>
      <c r="E9" s="8">
        <v>1397.5</v>
      </c>
      <c r="G9" s="8" t="s">
        <v>21</v>
      </c>
      <c r="H9" s="8">
        <v>4299.999999999999</v>
      </c>
    </row>
    <row r="10">
      <c r="A10" s="8" t="s">
        <v>17</v>
      </c>
      <c r="B10" s="13" t="s">
        <v>19</v>
      </c>
      <c r="C10" s="8">
        <v>0.3611111111111111</v>
      </c>
      <c r="D10" s="8">
        <v>16.97222222222222</v>
      </c>
      <c r="E10" s="8">
        <v>7298.055555555556</v>
      </c>
      <c r="G10" s="8" t="s">
        <v>22</v>
      </c>
      <c r="H10" s="8">
        <v>1146.6666666666665</v>
      </c>
    </row>
    <row r="11">
      <c r="A11" s="8" t="s">
        <v>17</v>
      </c>
      <c r="B11" s="13" t="s">
        <v>20</v>
      </c>
      <c r="C11" s="8">
        <v>0.3333333333333333</v>
      </c>
      <c r="D11" s="8">
        <v>1.0</v>
      </c>
      <c r="E11" s="8">
        <v>430.0</v>
      </c>
      <c r="G11" s="8" t="s">
        <v>31</v>
      </c>
      <c r="H11" s="8">
        <v>17101.714285714286</v>
      </c>
    </row>
    <row r="12">
      <c r="A12" s="8" t="s">
        <v>17</v>
      </c>
      <c r="B12" s="13" t="s">
        <v>21</v>
      </c>
      <c r="C12" s="8">
        <v>0.3333333333333333</v>
      </c>
      <c r="D12" s="8">
        <v>9.999999999999998</v>
      </c>
      <c r="E12" s="8">
        <v>4299.999999999999</v>
      </c>
    </row>
    <row r="13">
      <c r="A13" s="8" t="s">
        <v>17</v>
      </c>
      <c r="B13" s="13" t="s">
        <v>22</v>
      </c>
      <c r="C13" s="8">
        <v>0.3333333333333333</v>
      </c>
      <c r="D13" s="8">
        <v>2.6666666666666665</v>
      </c>
      <c r="E13" s="8">
        <v>1146.6666666666665</v>
      </c>
    </row>
    <row r="14">
      <c r="A14" s="8" t="s">
        <v>23</v>
      </c>
      <c r="B14" s="13" t="s">
        <v>24</v>
      </c>
      <c r="C14" s="8">
        <v>2.0</v>
      </c>
      <c r="D14" s="8">
        <v>56.0</v>
      </c>
      <c r="E14" s="8">
        <v>24080.0</v>
      </c>
      <c r="H14" s="8">
        <v>395013.69841269834</v>
      </c>
    </row>
    <row r="15">
      <c r="A15" s="8" t="s">
        <v>25</v>
      </c>
      <c r="B15" s="13" t="s">
        <v>26</v>
      </c>
      <c r="C15" s="8">
        <v>1.0944444444444443</v>
      </c>
      <c r="D15" s="8">
        <v>229.8333333333333</v>
      </c>
      <c r="E15" s="8">
        <v>98828.33333333331</v>
      </c>
    </row>
    <row r="16">
      <c r="A16" s="8" t="s">
        <v>27</v>
      </c>
      <c r="B16" s="13" t="s">
        <v>9</v>
      </c>
      <c r="C16" s="8">
        <v>0.2761904761904762</v>
      </c>
      <c r="D16" s="8">
        <v>79.81904761904762</v>
      </c>
      <c r="E16" s="8">
        <v>34322.19047619048</v>
      </c>
    </row>
    <row r="17">
      <c r="A17" s="8" t="s">
        <v>28</v>
      </c>
      <c r="B17" s="13" t="s">
        <v>14</v>
      </c>
      <c r="C17" s="8">
        <v>0.2761904761904762</v>
      </c>
      <c r="D17" s="8">
        <v>39.77142857142857</v>
      </c>
      <c r="E17" s="8">
        <v>17101.714285714286</v>
      </c>
    </row>
    <row r="18">
      <c r="B18" s="13"/>
    </row>
    <row r="19">
      <c r="A19" s="12" t="s">
        <v>40</v>
      </c>
      <c r="B19" s="13"/>
      <c r="D19" s="8">
        <v>918.6365079365078</v>
      </c>
      <c r="E19" s="8">
        <v>395013.69841269834</v>
      </c>
    </row>
    <row r="20">
      <c r="A20" s="13"/>
      <c r="B20" s="13"/>
    </row>
    <row r="21">
      <c r="A21" s="14" t="s">
        <v>3</v>
      </c>
    </row>
    <row r="22">
      <c r="A22" s="12" t="s">
        <v>6</v>
      </c>
      <c r="B22" s="12" t="s">
        <v>7</v>
      </c>
    </row>
    <row r="23">
      <c r="A23" s="13" t="s">
        <v>10</v>
      </c>
      <c r="B23" s="15">
        <v>430.0</v>
      </c>
    </row>
  </sheetData>
  <mergeCells count="1">
    <mergeCell ref="A21:B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43</v>
      </c>
      <c r="E1" s="12" t="s">
        <v>44</v>
      </c>
      <c r="F1" s="13"/>
      <c r="G1" s="12" t="s">
        <v>40</v>
      </c>
      <c r="H1" s="13"/>
    </row>
    <row r="2">
      <c r="A2" s="8" t="s">
        <v>4</v>
      </c>
      <c r="B2" s="13" t="s">
        <v>5</v>
      </c>
      <c r="C2" s="8">
        <v>1.3333333333333333</v>
      </c>
      <c r="D2" s="8">
        <v>37.33333333333333</v>
      </c>
      <c r="E2" s="8">
        <v>16053.333333333332</v>
      </c>
      <c r="G2" s="8" t="s">
        <v>5</v>
      </c>
      <c r="H2" s="8">
        <v>200666.66666666666</v>
      </c>
    </row>
    <row r="3">
      <c r="A3" s="8" t="s">
        <v>8</v>
      </c>
      <c r="B3" s="13" t="s">
        <v>9</v>
      </c>
      <c r="C3" s="8">
        <v>0.2761904761904762</v>
      </c>
      <c r="D3" s="8">
        <v>11.323809523809524</v>
      </c>
      <c r="E3" s="8">
        <v>4869.238095238095</v>
      </c>
      <c r="G3" s="8" t="s">
        <v>24</v>
      </c>
      <c r="H3" s="8">
        <v>24080.0</v>
      </c>
    </row>
    <row r="4">
      <c r="A4" s="8" t="s">
        <v>11</v>
      </c>
      <c r="B4" s="13" t="s">
        <v>5</v>
      </c>
      <c r="C4" s="8">
        <v>1.3333333333333333</v>
      </c>
      <c r="D4" s="8">
        <v>100.0</v>
      </c>
      <c r="E4" s="8">
        <v>43000.0</v>
      </c>
      <c r="G4" s="8" t="s">
        <v>9</v>
      </c>
      <c r="H4" s="8">
        <v>39191.42857142858</v>
      </c>
    </row>
    <row r="5">
      <c r="A5" s="8" t="s">
        <v>12</v>
      </c>
      <c r="B5" s="13" t="s">
        <v>5</v>
      </c>
      <c r="C5" s="8">
        <v>1.3333333333333333</v>
      </c>
      <c r="D5" s="8">
        <v>295.99999999999994</v>
      </c>
      <c r="E5" s="8">
        <v>127279.99999999997</v>
      </c>
      <c r="G5" s="8" t="s">
        <v>26</v>
      </c>
      <c r="H5" s="8">
        <v>98828.33333333331</v>
      </c>
    </row>
    <row r="6">
      <c r="A6" s="8" t="s">
        <v>13</v>
      </c>
      <c r="B6" s="13" t="s">
        <v>14</v>
      </c>
      <c r="C6" s="8">
        <v>0.0</v>
      </c>
      <c r="D6" s="8">
        <v>0.0</v>
      </c>
      <c r="E6" s="8">
        <v>0.0</v>
      </c>
      <c r="G6" s="8" t="s">
        <v>18</v>
      </c>
      <c r="H6" s="8">
        <v>1397.5</v>
      </c>
    </row>
    <row r="7">
      <c r="A7" s="8" t="s">
        <v>15</v>
      </c>
      <c r="B7" s="13" t="s">
        <v>14</v>
      </c>
      <c r="C7" s="8">
        <v>0.0</v>
      </c>
      <c r="D7" s="8">
        <v>0.0</v>
      </c>
      <c r="E7" s="8">
        <v>0.0</v>
      </c>
      <c r="G7" s="8" t="s">
        <v>19</v>
      </c>
      <c r="H7" s="8">
        <v>7298.055555555556</v>
      </c>
    </row>
    <row r="8">
      <c r="A8" s="8" t="s">
        <v>16</v>
      </c>
      <c r="B8" s="13" t="s">
        <v>5</v>
      </c>
      <c r="C8" s="8">
        <v>1.3333333333333333</v>
      </c>
      <c r="D8" s="8">
        <v>33.33333333333333</v>
      </c>
      <c r="E8" s="8">
        <v>14333.333333333332</v>
      </c>
      <c r="G8" s="8" t="s">
        <v>20</v>
      </c>
      <c r="H8" s="8">
        <v>430.0</v>
      </c>
    </row>
    <row r="9">
      <c r="A9" s="8" t="s">
        <v>17</v>
      </c>
      <c r="B9" s="13" t="s">
        <v>18</v>
      </c>
      <c r="C9" s="8">
        <v>3.25</v>
      </c>
      <c r="D9" s="8">
        <v>3.25</v>
      </c>
      <c r="E9" s="8">
        <v>1397.5</v>
      </c>
      <c r="G9" s="8" t="s">
        <v>21</v>
      </c>
      <c r="H9" s="8">
        <v>4299.999999999999</v>
      </c>
    </row>
    <row r="10">
      <c r="A10" s="8" t="s">
        <v>17</v>
      </c>
      <c r="B10" s="13" t="s">
        <v>19</v>
      </c>
      <c r="C10" s="8">
        <v>0.3611111111111111</v>
      </c>
      <c r="D10" s="8">
        <v>16.97222222222222</v>
      </c>
      <c r="E10" s="8">
        <v>7298.055555555556</v>
      </c>
      <c r="G10" s="8" t="s">
        <v>22</v>
      </c>
      <c r="H10" s="8">
        <v>1146.6666666666665</v>
      </c>
    </row>
    <row r="11">
      <c r="A11" s="8" t="s">
        <v>17</v>
      </c>
      <c r="B11" s="13" t="s">
        <v>20</v>
      </c>
      <c r="C11" s="8">
        <v>0.3333333333333333</v>
      </c>
      <c r="D11" s="8">
        <v>1.0</v>
      </c>
      <c r="E11" s="8">
        <v>430.0</v>
      </c>
      <c r="G11" s="8" t="s">
        <v>31</v>
      </c>
      <c r="H11" s="8">
        <v>17101.714285714286</v>
      </c>
    </row>
    <row r="12">
      <c r="A12" s="8" t="s">
        <v>17</v>
      </c>
      <c r="B12" s="13" t="s">
        <v>21</v>
      </c>
      <c r="C12" s="8">
        <v>0.3333333333333333</v>
      </c>
      <c r="D12" s="8">
        <v>9.999999999999998</v>
      </c>
      <c r="E12" s="8">
        <v>4299.999999999999</v>
      </c>
    </row>
    <row r="13">
      <c r="A13" s="8" t="s">
        <v>17</v>
      </c>
      <c r="B13" s="13" t="s">
        <v>22</v>
      </c>
      <c r="C13" s="8">
        <v>0.3333333333333333</v>
      </c>
      <c r="D13" s="8">
        <v>2.6666666666666665</v>
      </c>
      <c r="E13" s="8">
        <v>1146.6666666666665</v>
      </c>
    </row>
    <row r="14">
      <c r="A14" s="8" t="s">
        <v>23</v>
      </c>
      <c r="B14" s="13" t="s">
        <v>24</v>
      </c>
      <c r="C14" s="8">
        <v>2.0</v>
      </c>
      <c r="D14" s="8">
        <v>56.0</v>
      </c>
      <c r="E14" s="8">
        <v>24080.0</v>
      </c>
      <c r="H14" s="8">
        <v>394440.3650793651</v>
      </c>
    </row>
    <row r="15">
      <c r="A15" s="8" t="s">
        <v>25</v>
      </c>
      <c r="B15" s="13" t="s">
        <v>26</v>
      </c>
      <c r="C15" s="8">
        <v>1.0944444444444443</v>
      </c>
      <c r="D15" s="8">
        <v>229.8333333333333</v>
      </c>
      <c r="E15" s="8">
        <v>98828.33333333331</v>
      </c>
    </row>
    <row r="16">
      <c r="A16" s="8" t="s">
        <v>27</v>
      </c>
      <c r="B16" s="13" t="s">
        <v>9</v>
      </c>
      <c r="C16" s="8">
        <v>0.2761904761904762</v>
      </c>
      <c r="D16" s="8">
        <v>79.81904761904762</v>
      </c>
      <c r="E16" s="8">
        <v>34322.19047619048</v>
      </c>
    </row>
    <row r="17">
      <c r="A17" s="8" t="s">
        <v>28</v>
      </c>
      <c r="B17" s="13" t="s">
        <v>14</v>
      </c>
      <c r="C17" s="8">
        <v>0.2761904761904762</v>
      </c>
      <c r="D17" s="8">
        <v>39.77142857142857</v>
      </c>
      <c r="E17" s="8">
        <v>17101.714285714286</v>
      </c>
    </row>
    <row r="18">
      <c r="B18" s="13"/>
    </row>
    <row r="19">
      <c r="A19" s="12" t="s">
        <v>40</v>
      </c>
      <c r="B19" s="13"/>
      <c r="D19" s="8">
        <v>917.3031746031745</v>
      </c>
      <c r="E19" s="8">
        <v>394440.365079365</v>
      </c>
    </row>
    <row r="20">
      <c r="A20" s="13"/>
      <c r="B20" s="13"/>
    </row>
    <row r="21">
      <c r="A21" s="14" t="s">
        <v>3</v>
      </c>
    </row>
    <row r="22">
      <c r="A22" s="12" t="s">
        <v>6</v>
      </c>
      <c r="B22" s="12" t="s">
        <v>7</v>
      </c>
    </row>
    <row r="23">
      <c r="A23" s="13" t="s">
        <v>10</v>
      </c>
      <c r="B23" s="15">
        <v>430.0</v>
      </c>
    </row>
  </sheetData>
  <mergeCells count="1">
    <mergeCell ref="A21:B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45</v>
      </c>
      <c r="F1" s="13"/>
      <c r="G1" s="14" t="s">
        <v>46</v>
      </c>
    </row>
    <row r="2">
      <c r="A2" s="12" t="s">
        <v>0</v>
      </c>
      <c r="B2" s="12" t="s">
        <v>1</v>
      </c>
      <c r="C2" s="12" t="s">
        <v>2</v>
      </c>
      <c r="D2" s="12" t="s">
        <v>43</v>
      </c>
      <c r="E2" s="12" t="s">
        <v>44</v>
      </c>
      <c r="F2" s="13"/>
      <c r="G2" s="12" t="s">
        <v>0</v>
      </c>
      <c r="H2" s="12" t="s">
        <v>1</v>
      </c>
      <c r="I2" s="12" t="s">
        <v>2</v>
      </c>
      <c r="J2" s="12" t="s">
        <v>43</v>
      </c>
      <c r="K2" s="12" t="s">
        <v>44</v>
      </c>
    </row>
    <row r="3">
      <c r="A3" s="13" t="s">
        <v>4</v>
      </c>
      <c r="B3" s="13" t="s">
        <v>5</v>
      </c>
      <c r="C3" s="15">
        <v>1.3333333333333333</v>
      </c>
      <c r="D3" s="15">
        <v>22.666666666666668</v>
      </c>
      <c r="E3" s="15">
        <v>9746.666666666668</v>
      </c>
      <c r="F3" s="13"/>
      <c r="G3" s="13" t="s">
        <v>4</v>
      </c>
      <c r="H3" s="13" t="s">
        <v>5</v>
      </c>
      <c r="I3" s="15">
        <v>1.3333333333333333</v>
      </c>
      <c r="J3" s="15">
        <v>22.666666666666668</v>
      </c>
      <c r="K3" s="15">
        <v>9746.666666666668</v>
      </c>
    </row>
    <row r="4">
      <c r="A4" s="13" t="s">
        <v>8</v>
      </c>
      <c r="B4" s="13" t="s">
        <v>9</v>
      </c>
      <c r="C4" s="15">
        <v>0.2761904761904762</v>
      </c>
      <c r="D4" s="15">
        <v>9.114285714285714</v>
      </c>
      <c r="E4" s="15">
        <v>3919.142857142857</v>
      </c>
      <c r="F4" s="13"/>
      <c r="G4" s="13" t="s">
        <v>8</v>
      </c>
      <c r="H4" s="13" t="s">
        <v>9</v>
      </c>
      <c r="I4" s="15">
        <v>0.2761904761904762</v>
      </c>
      <c r="J4" s="15">
        <v>9.114285714285714</v>
      </c>
      <c r="K4" s="15">
        <v>3919.142857142857</v>
      </c>
    </row>
    <row r="5">
      <c r="A5" s="13" t="s">
        <v>11</v>
      </c>
      <c r="B5" s="13" t="s">
        <v>5</v>
      </c>
      <c r="C5" s="15">
        <v>1.3333333333333333</v>
      </c>
      <c r="D5" s="15">
        <v>76.0</v>
      </c>
      <c r="E5" s="15">
        <v>32680.0</v>
      </c>
      <c r="F5" s="13"/>
      <c r="G5" s="13" t="s">
        <v>11</v>
      </c>
      <c r="H5" s="13" t="s">
        <v>5</v>
      </c>
      <c r="I5" s="15">
        <v>1.3333333333333333</v>
      </c>
      <c r="J5" s="15">
        <v>76.0</v>
      </c>
      <c r="K5" s="15">
        <v>32680.0</v>
      </c>
    </row>
    <row r="6">
      <c r="A6" s="13" t="s">
        <v>12</v>
      </c>
      <c r="B6" s="13" t="s">
        <v>5</v>
      </c>
      <c r="C6" s="15">
        <v>1.3333333333333333</v>
      </c>
      <c r="D6" s="15">
        <v>192.0</v>
      </c>
      <c r="E6" s="15">
        <v>82560.0</v>
      </c>
      <c r="F6" s="13"/>
      <c r="G6" s="13" t="s">
        <v>12</v>
      </c>
      <c r="H6" s="13" t="s">
        <v>5</v>
      </c>
      <c r="I6" s="15">
        <v>1.3333333333333333</v>
      </c>
      <c r="J6" s="15">
        <v>192.0</v>
      </c>
      <c r="K6" s="15">
        <v>82560.0</v>
      </c>
    </row>
    <row r="7">
      <c r="A7" s="13" t="s">
        <v>13</v>
      </c>
      <c r="B7" s="13" t="s">
        <v>14</v>
      </c>
      <c r="C7" s="15">
        <v>0.0</v>
      </c>
      <c r="D7" s="15">
        <v>0.0</v>
      </c>
      <c r="E7" s="15">
        <v>0.0</v>
      </c>
      <c r="F7" s="13"/>
      <c r="G7" s="13" t="s">
        <v>13</v>
      </c>
      <c r="H7" s="13" t="s">
        <v>14</v>
      </c>
      <c r="I7" s="15">
        <v>0.0</v>
      </c>
      <c r="J7" s="15">
        <v>0.0</v>
      </c>
      <c r="K7" s="15">
        <v>0.0</v>
      </c>
    </row>
    <row r="8">
      <c r="A8" s="13" t="s">
        <v>15</v>
      </c>
      <c r="B8" s="13" t="s">
        <v>14</v>
      </c>
      <c r="C8" s="15">
        <v>0.0</v>
      </c>
      <c r="D8" s="15">
        <v>0.0</v>
      </c>
      <c r="E8" s="15">
        <v>0.0</v>
      </c>
      <c r="F8" s="13"/>
      <c r="G8" s="13" t="s">
        <v>15</v>
      </c>
      <c r="H8" s="13" t="s">
        <v>14</v>
      </c>
      <c r="I8" s="15">
        <v>0.0</v>
      </c>
      <c r="J8" s="15">
        <v>0.0</v>
      </c>
      <c r="K8" s="15">
        <v>0.0</v>
      </c>
    </row>
    <row r="9">
      <c r="A9" s="13" t="s">
        <v>16</v>
      </c>
      <c r="B9" s="13" t="s">
        <v>5</v>
      </c>
      <c r="C9" s="15">
        <v>1.3333333333333333</v>
      </c>
      <c r="D9" s="15">
        <v>32.0</v>
      </c>
      <c r="E9" s="15">
        <v>13760.0</v>
      </c>
      <c r="F9" s="13"/>
      <c r="G9" s="13" t="s">
        <v>16</v>
      </c>
      <c r="H9" s="13" t="s">
        <v>5</v>
      </c>
      <c r="I9" s="15">
        <v>1.3333333333333333</v>
      </c>
      <c r="J9" s="15">
        <v>32.0</v>
      </c>
      <c r="K9" s="15">
        <v>13760.0</v>
      </c>
    </row>
    <row r="10">
      <c r="A10" s="13" t="s">
        <v>17</v>
      </c>
      <c r="B10" s="13" t="s">
        <v>18</v>
      </c>
      <c r="C10" s="15">
        <v>3.25</v>
      </c>
      <c r="D10" s="15">
        <v>32.5</v>
      </c>
      <c r="E10" s="15">
        <v>13975.0</v>
      </c>
      <c r="F10" s="13"/>
      <c r="G10" s="13" t="s">
        <v>17</v>
      </c>
      <c r="H10" s="13" t="s">
        <v>18</v>
      </c>
      <c r="I10" s="15">
        <v>3.25</v>
      </c>
      <c r="J10" s="15">
        <v>32.5</v>
      </c>
      <c r="K10" s="15">
        <v>13975.0</v>
      </c>
    </row>
    <row r="11">
      <c r="A11" s="13" t="s">
        <v>17</v>
      </c>
      <c r="B11" s="13" t="s">
        <v>19</v>
      </c>
      <c r="C11" s="15">
        <v>0.3611111111111111</v>
      </c>
      <c r="D11" s="15">
        <v>13.0</v>
      </c>
      <c r="E11" s="15">
        <v>5590.0</v>
      </c>
      <c r="F11" s="13"/>
      <c r="G11" s="13" t="s">
        <v>17</v>
      </c>
      <c r="H11" s="13" t="s">
        <v>19</v>
      </c>
      <c r="I11" s="15">
        <v>0.3611111111111111</v>
      </c>
      <c r="J11" s="15">
        <v>13.0</v>
      </c>
      <c r="K11" s="15">
        <v>5590.0</v>
      </c>
    </row>
    <row r="12">
      <c r="A12" s="13" t="s">
        <v>17</v>
      </c>
      <c r="B12" s="13" t="s">
        <v>20</v>
      </c>
      <c r="C12" s="15">
        <v>0.3333333333333333</v>
      </c>
      <c r="D12" s="15">
        <v>0.3333333333333333</v>
      </c>
      <c r="E12" s="15">
        <v>143.33333333333331</v>
      </c>
      <c r="F12" s="13"/>
      <c r="G12" s="13" t="s">
        <v>17</v>
      </c>
      <c r="H12" s="13" t="s">
        <v>20</v>
      </c>
      <c r="I12" s="15">
        <v>0.3333333333333333</v>
      </c>
      <c r="J12" s="15">
        <v>0.3333333333333333</v>
      </c>
      <c r="K12" s="15">
        <v>143.33333333333331</v>
      </c>
    </row>
    <row r="13">
      <c r="A13" s="13" t="s">
        <v>17</v>
      </c>
      <c r="B13" s="13" t="s">
        <v>21</v>
      </c>
      <c r="C13" s="15">
        <v>0.3333333333333333</v>
      </c>
      <c r="D13" s="15">
        <v>9.666666666666666</v>
      </c>
      <c r="E13" s="15">
        <v>4156.666666666666</v>
      </c>
      <c r="F13" s="13"/>
      <c r="G13" s="13" t="s">
        <v>17</v>
      </c>
      <c r="H13" s="13" t="s">
        <v>21</v>
      </c>
      <c r="I13" s="15">
        <v>0.3333333333333333</v>
      </c>
      <c r="J13" s="15">
        <v>9.666666666666666</v>
      </c>
      <c r="K13" s="15">
        <v>4156.666666666666</v>
      </c>
    </row>
    <row r="14">
      <c r="A14" s="13" t="s">
        <v>17</v>
      </c>
      <c r="B14" s="13" t="s">
        <v>22</v>
      </c>
      <c r="C14" s="15">
        <v>0.3333333333333333</v>
      </c>
      <c r="D14" s="15">
        <v>1.3333333333333333</v>
      </c>
      <c r="E14" s="15">
        <v>573.3333333333333</v>
      </c>
      <c r="F14" s="13"/>
      <c r="G14" s="13" t="s">
        <v>17</v>
      </c>
      <c r="H14" s="13" t="s">
        <v>22</v>
      </c>
      <c r="I14" s="15">
        <v>0.3333333333333333</v>
      </c>
      <c r="J14" s="15">
        <v>1.3333333333333333</v>
      </c>
      <c r="K14" s="15">
        <v>573.3333333333333</v>
      </c>
    </row>
    <row r="15">
      <c r="A15" s="13" t="s">
        <v>23</v>
      </c>
      <c r="B15" s="13" t="s">
        <v>24</v>
      </c>
      <c r="C15" s="15">
        <v>2.0</v>
      </c>
      <c r="D15" s="15">
        <v>52.0</v>
      </c>
      <c r="E15" s="15">
        <v>22360.0</v>
      </c>
      <c r="F15" s="13"/>
      <c r="G15" s="13" t="s">
        <v>23</v>
      </c>
      <c r="H15" s="13" t="s">
        <v>24</v>
      </c>
      <c r="I15" s="15">
        <v>2.0</v>
      </c>
      <c r="J15" s="15">
        <v>52.0</v>
      </c>
      <c r="K15" s="15">
        <v>22360.0</v>
      </c>
    </row>
    <row r="16">
      <c r="A16" s="13" t="s">
        <v>25</v>
      </c>
      <c r="B16" s="13" t="s">
        <v>26</v>
      </c>
      <c r="C16" s="15">
        <v>1.0944444444444443</v>
      </c>
      <c r="D16" s="15">
        <v>328.3333333333333</v>
      </c>
      <c r="E16" s="15">
        <v>141183.3333333333</v>
      </c>
      <c r="F16" s="13"/>
      <c r="G16" s="13" t="s">
        <v>25</v>
      </c>
      <c r="H16" s="13" t="s">
        <v>26</v>
      </c>
      <c r="I16" s="15">
        <v>1.0944444444444443</v>
      </c>
      <c r="J16" s="15">
        <v>328.3333333333333</v>
      </c>
      <c r="K16" s="15">
        <v>141183.3333333333</v>
      </c>
    </row>
    <row r="17">
      <c r="A17" s="13" t="s">
        <v>27</v>
      </c>
      <c r="B17" s="13" t="s">
        <v>9</v>
      </c>
      <c r="C17" s="15">
        <v>0.2761904761904762</v>
      </c>
      <c r="D17" s="15">
        <v>65.45714285714286</v>
      </c>
      <c r="E17" s="15">
        <v>28146.571428571428</v>
      </c>
      <c r="F17" s="13"/>
      <c r="G17" s="13" t="s">
        <v>27</v>
      </c>
      <c r="H17" s="13" t="s">
        <v>9</v>
      </c>
      <c r="I17" s="15">
        <v>0.2761904761904762</v>
      </c>
      <c r="J17" s="15">
        <v>65.45714285714286</v>
      </c>
      <c r="K17" s="15">
        <v>28146.571428571428</v>
      </c>
    </row>
    <row r="18">
      <c r="A18" s="13" t="s">
        <v>28</v>
      </c>
      <c r="B18" s="13" t="s">
        <v>14</v>
      </c>
      <c r="C18" s="15">
        <v>0.2761904761904762</v>
      </c>
      <c r="D18" s="15">
        <v>33.971428571428575</v>
      </c>
      <c r="E18" s="15">
        <v>14607.714285714288</v>
      </c>
      <c r="F18" s="13"/>
      <c r="G18" s="13" t="s">
        <v>28</v>
      </c>
      <c r="H18" s="13" t="s">
        <v>14</v>
      </c>
      <c r="I18" s="15">
        <v>0.2761904761904762</v>
      </c>
      <c r="J18" s="15">
        <v>33.971428571428575</v>
      </c>
      <c r="K18" s="15">
        <v>14607.714285714288</v>
      </c>
    </row>
    <row r="19">
      <c r="A19" s="13" t="s">
        <v>47</v>
      </c>
      <c r="B19" s="13" t="s">
        <v>47</v>
      </c>
      <c r="C19" s="15">
        <f>C6*64</f>
        <v>85.33333333</v>
      </c>
      <c r="D19" s="15">
        <v>341.3333333333333</v>
      </c>
      <c r="E19" s="15">
        <v>146773.3333333333</v>
      </c>
      <c r="F19" s="13"/>
      <c r="G19" s="13" t="s">
        <v>47</v>
      </c>
      <c r="H19" s="13" t="s">
        <v>48</v>
      </c>
      <c r="I19" s="15">
        <f>C3*64*0.4</f>
        <v>34.13333333</v>
      </c>
      <c r="J19" s="15">
        <v>136.53333333333333</v>
      </c>
      <c r="K19" s="15">
        <v>58709.333333333336</v>
      </c>
    </row>
    <row r="20">
      <c r="C20" s="15"/>
    </row>
    <row r="21">
      <c r="A21" s="1" t="s">
        <v>40</v>
      </c>
      <c r="D21" s="8">
        <v>1209.7095238095237</v>
      </c>
      <c r="E21" s="8">
        <v>520175.0952380952</v>
      </c>
      <c r="G21" s="1" t="s">
        <v>40</v>
      </c>
      <c r="J21" s="8">
        <v>1004.9095238095238</v>
      </c>
      <c r="K21" s="8">
        <v>432111.0952380952</v>
      </c>
    </row>
  </sheetData>
  <mergeCells count="2">
    <mergeCell ref="A1:E1"/>
    <mergeCell ref="G1:K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43</v>
      </c>
      <c r="E1" s="12" t="s">
        <v>44</v>
      </c>
      <c r="G1" s="8" t="s">
        <v>40</v>
      </c>
    </row>
    <row r="2">
      <c r="A2" s="13" t="s">
        <v>4</v>
      </c>
      <c r="B2" s="13" t="s">
        <v>5</v>
      </c>
      <c r="C2" s="15">
        <v>1.3333333333333333</v>
      </c>
      <c r="D2" s="15">
        <v>2.6666666666666665</v>
      </c>
      <c r="E2" s="15">
        <v>1146.6666666666665</v>
      </c>
      <c r="G2" s="8" t="s">
        <v>5</v>
      </c>
      <c r="H2" s="8">
        <v>112946.66666666669</v>
      </c>
    </row>
    <row r="3">
      <c r="A3" s="13" t="s">
        <v>8</v>
      </c>
      <c r="B3" s="13" t="s">
        <v>9</v>
      </c>
      <c r="C3" s="15">
        <v>0.2761904761904762</v>
      </c>
      <c r="D3" s="15">
        <v>9.666666666666668</v>
      </c>
      <c r="E3" s="15">
        <v>4156.666666666667</v>
      </c>
      <c r="G3" s="8" t="s">
        <v>24</v>
      </c>
      <c r="H3" s="8">
        <v>10320.0</v>
      </c>
    </row>
    <row r="4">
      <c r="A4" s="13" t="s">
        <v>11</v>
      </c>
      <c r="B4" s="13" t="s">
        <v>5</v>
      </c>
      <c r="C4" s="15">
        <v>1.3333333333333333</v>
      </c>
      <c r="D4" s="15">
        <v>70.66666666666667</v>
      </c>
      <c r="E4" s="15">
        <v>30386.666666666668</v>
      </c>
      <c r="G4" s="8" t="s">
        <v>9</v>
      </c>
      <c r="H4" s="8">
        <v>25652.57142857143</v>
      </c>
    </row>
    <row r="5">
      <c r="A5" s="13" t="s">
        <v>12</v>
      </c>
      <c r="B5" s="13" t="s">
        <v>5</v>
      </c>
      <c r="C5" s="15">
        <v>1.3333333333333333</v>
      </c>
      <c r="D5" s="15">
        <v>157.33333333333334</v>
      </c>
      <c r="E5" s="15">
        <v>67653.33333333334</v>
      </c>
      <c r="G5" s="8" t="s">
        <v>26</v>
      </c>
      <c r="H5" s="8">
        <v>75297.77777777777</v>
      </c>
    </row>
    <row r="6">
      <c r="A6" s="13" t="s">
        <v>13</v>
      </c>
      <c r="B6" s="13" t="s">
        <v>14</v>
      </c>
      <c r="C6" s="15">
        <v>0.0</v>
      </c>
      <c r="D6" s="15">
        <v>0.0</v>
      </c>
      <c r="E6" s="15">
        <v>0.0</v>
      </c>
      <c r="G6" s="8" t="s">
        <v>18</v>
      </c>
      <c r="H6" s="8">
        <v>0.0</v>
      </c>
    </row>
    <row r="7">
      <c r="A7" s="13" t="s">
        <v>15</v>
      </c>
      <c r="B7" s="13" t="s">
        <v>14</v>
      </c>
      <c r="C7" s="15">
        <v>0.0</v>
      </c>
      <c r="D7" s="15">
        <v>0.0</v>
      </c>
      <c r="E7" s="15">
        <v>0.0</v>
      </c>
      <c r="G7" s="8" t="s">
        <v>19</v>
      </c>
      <c r="H7" s="8">
        <v>5590.0</v>
      </c>
    </row>
    <row r="8">
      <c r="A8" s="13" t="s">
        <v>16</v>
      </c>
      <c r="B8" s="13" t="s">
        <v>5</v>
      </c>
      <c r="C8" s="15">
        <v>1.3333333333333333</v>
      </c>
      <c r="D8" s="15">
        <v>32.0</v>
      </c>
      <c r="E8" s="15">
        <v>13760.0</v>
      </c>
      <c r="G8" s="8" t="s">
        <v>20</v>
      </c>
      <c r="H8" s="8">
        <v>2293.333333333333</v>
      </c>
    </row>
    <row r="9">
      <c r="A9" s="13" t="s">
        <v>17</v>
      </c>
      <c r="B9" s="13" t="s">
        <v>18</v>
      </c>
      <c r="C9" s="15">
        <v>3.25</v>
      </c>
      <c r="D9" s="15">
        <v>0.0</v>
      </c>
      <c r="E9" s="15">
        <v>0.0</v>
      </c>
      <c r="G9" s="8" t="s">
        <v>21</v>
      </c>
      <c r="H9" s="8">
        <v>2723.333333333333</v>
      </c>
    </row>
    <row r="10">
      <c r="A10" s="13" t="s">
        <v>17</v>
      </c>
      <c r="B10" s="13" t="s">
        <v>19</v>
      </c>
      <c r="C10" s="15">
        <v>0.3611111111111111</v>
      </c>
      <c r="D10" s="15">
        <v>13.0</v>
      </c>
      <c r="E10" s="15">
        <v>5590.0</v>
      </c>
      <c r="G10" s="8" t="s">
        <v>22</v>
      </c>
      <c r="H10" s="8">
        <v>860.0</v>
      </c>
    </row>
    <row r="11">
      <c r="A11" s="13" t="s">
        <v>17</v>
      </c>
      <c r="B11" s="13" t="s">
        <v>20</v>
      </c>
      <c r="C11" s="15">
        <v>0.3333333333333333</v>
      </c>
      <c r="D11" s="15">
        <v>5.333333333333333</v>
      </c>
      <c r="E11" s="15">
        <v>2293.333333333333</v>
      </c>
      <c r="G11" s="8" t="s">
        <v>31</v>
      </c>
      <c r="H11" s="8">
        <v>13895.142857142859</v>
      </c>
    </row>
    <row r="12">
      <c r="A12" s="13" t="s">
        <v>17</v>
      </c>
      <c r="B12" s="13" t="s">
        <v>21</v>
      </c>
      <c r="C12" s="15">
        <v>0.3333333333333333</v>
      </c>
      <c r="D12" s="15">
        <v>6.333333333333333</v>
      </c>
      <c r="E12" s="15">
        <v>2723.333333333333</v>
      </c>
    </row>
    <row r="13">
      <c r="A13" s="13" t="s">
        <v>17</v>
      </c>
      <c r="B13" s="13" t="s">
        <v>22</v>
      </c>
      <c r="C13" s="15">
        <v>0.3333333333333333</v>
      </c>
      <c r="D13" s="15">
        <v>2.0</v>
      </c>
      <c r="E13" s="15">
        <v>860.0</v>
      </c>
    </row>
    <row r="14">
      <c r="A14" s="13" t="s">
        <v>23</v>
      </c>
      <c r="B14" s="13" t="s">
        <v>24</v>
      </c>
      <c r="C14" s="15">
        <v>2.0</v>
      </c>
      <c r="D14" s="15">
        <v>24.0</v>
      </c>
      <c r="E14" s="15">
        <v>10320.0</v>
      </c>
      <c r="H14" s="8">
        <v>249578.8253968254</v>
      </c>
    </row>
    <row r="15">
      <c r="A15" s="13" t="s">
        <v>25</v>
      </c>
      <c r="B15" s="13" t="s">
        <v>26</v>
      </c>
      <c r="C15" s="15">
        <v>1.0944444444444443</v>
      </c>
      <c r="D15" s="15">
        <v>175.1111111111111</v>
      </c>
      <c r="E15" s="15">
        <v>75297.77777777777</v>
      </c>
    </row>
    <row r="16">
      <c r="A16" s="13" t="s">
        <v>27</v>
      </c>
      <c r="B16" s="13" t="s">
        <v>9</v>
      </c>
      <c r="C16" s="15">
        <v>0.2761904761904762</v>
      </c>
      <c r="D16" s="15">
        <v>49.990476190476194</v>
      </c>
      <c r="E16" s="15">
        <v>21495.904761904763</v>
      </c>
    </row>
    <row r="17">
      <c r="A17" s="13" t="s">
        <v>28</v>
      </c>
      <c r="B17" s="13" t="s">
        <v>14</v>
      </c>
      <c r="C17" s="15">
        <v>0.2761904761904762</v>
      </c>
      <c r="D17" s="15">
        <v>32.31428571428572</v>
      </c>
      <c r="E17" s="15">
        <v>13895.142857142859</v>
      </c>
    </row>
    <row r="18">
      <c r="A18" s="13"/>
      <c r="B18" s="13"/>
      <c r="C18" s="15"/>
      <c r="D18" s="15"/>
      <c r="E18" s="15"/>
    </row>
    <row r="19">
      <c r="A19" s="16" t="s">
        <v>40</v>
      </c>
      <c r="B19" s="13"/>
      <c r="C19" s="13"/>
      <c r="D19" s="13">
        <v>580.415873015873</v>
      </c>
      <c r="E19" s="13">
        <v>249578.82539682538</v>
      </c>
    </row>
    <row r="20">
      <c r="A20" s="12"/>
      <c r="B20" s="13"/>
      <c r="C20" s="13"/>
      <c r="D20" s="15"/>
      <c r="E20" s="15"/>
    </row>
    <row r="21">
      <c r="A21" s="13"/>
      <c r="B21" s="13"/>
      <c r="C21" s="13"/>
      <c r="D21" s="13"/>
      <c r="E21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43</v>
      </c>
      <c r="E1" s="6" t="s">
        <v>44</v>
      </c>
      <c r="F1" s="6"/>
      <c r="G1" s="6" t="s">
        <v>40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4</v>
      </c>
      <c r="B2" s="8" t="s">
        <v>5</v>
      </c>
      <c r="C2" s="8">
        <v>1.3333333333333333</v>
      </c>
      <c r="D2" s="8">
        <v>288.0</v>
      </c>
      <c r="E2" s="8">
        <v>123840.0</v>
      </c>
      <c r="G2" s="8" t="s">
        <v>5</v>
      </c>
      <c r="H2" s="8">
        <v>1002759.9999999999</v>
      </c>
    </row>
    <row r="3">
      <c r="A3" s="8" t="s">
        <v>8</v>
      </c>
      <c r="B3" s="8" t="s">
        <v>9</v>
      </c>
      <c r="C3" s="8">
        <v>0.2761904761904762</v>
      </c>
      <c r="D3" s="8">
        <v>56.61904761904762</v>
      </c>
      <c r="E3" s="8">
        <v>24346.190476190477</v>
      </c>
      <c r="G3" s="8" t="s">
        <v>24</v>
      </c>
      <c r="H3" s="8">
        <v>144480.0</v>
      </c>
    </row>
    <row r="4">
      <c r="A4" s="8" t="s">
        <v>11</v>
      </c>
      <c r="B4" s="8" t="s">
        <v>5</v>
      </c>
      <c r="C4" s="8">
        <v>1.3333333333333333</v>
      </c>
      <c r="D4" s="8">
        <v>320.0</v>
      </c>
      <c r="E4" s="8">
        <v>137600.0</v>
      </c>
      <c r="G4" s="8" t="s">
        <v>9</v>
      </c>
      <c r="H4" s="8">
        <v>169829.52380952382</v>
      </c>
    </row>
    <row r="5">
      <c r="A5" s="8" t="s">
        <v>12</v>
      </c>
      <c r="B5" s="8" t="s">
        <v>5</v>
      </c>
      <c r="C5" s="8">
        <v>1.3333333333333333</v>
      </c>
      <c r="D5" s="8">
        <v>1681.3333333333333</v>
      </c>
      <c r="E5" s="8">
        <v>722973.3333333333</v>
      </c>
      <c r="G5" s="8" t="s">
        <v>26</v>
      </c>
      <c r="H5" s="8">
        <v>436256.49999999994</v>
      </c>
    </row>
    <row r="6">
      <c r="A6" s="8" t="s">
        <v>13</v>
      </c>
      <c r="B6" s="8" t="s">
        <v>14</v>
      </c>
      <c r="C6" s="8">
        <v>0.0</v>
      </c>
      <c r="D6" s="8">
        <v>0.0</v>
      </c>
      <c r="E6" s="8">
        <v>0.0</v>
      </c>
      <c r="G6" s="8" t="s">
        <v>18</v>
      </c>
      <c r="H6" s="8">
        <v>11180.0</v>
      </c>
    </row>
    <row r="7">
      <c r="A7" s="8" t="s">
        <v>15</v>
      </c>
      <c r="B7" s="8" t="s">
        <v>14</v>
      </c>
      <c r="C7" s="8">
        <v>0.0</v>
      </c>
      <c r="D7" s="8">
        <v>0.0</v>
      </c>
      <c r="E7" s="8">
        <v>0.0</v>
      </c>
      <c r="G7" s="8" t="s">
        <v>19</v>
      </c>
      <c r="H7" s="8">
        <v>21428.333333333336</v>
      </c>
    </row>
    <row r="8">
      <c r="A8" s="8" t="s">
        <v>16</v>
      </c>
      <c r="B8" s="8" t="s">
        <v>5</v>
      </c>
      <c r="C8" s="8">
        <v>1.3333333333333333</v>
      </c>
      <c r="D8" s="8">
        <v>42.666666666666664</v>
      </c>
      <c r="E8" s="8">
        <v>18346.666666666664</v>
      </c>
      <c r="G8" s="8" t="s">
        <v>20</v>
      </c>
      <c r="H8" s="8">
        <v>4586.666666666666</v>
      </c>
    </row>
    <row r="9">
      <c r="A9" s="8" t="s">
        <v>17</v>
      </c>
      <c r="B9" s="8" t="s">
        <v>18</v>
      </c>
      <c r="C9" s="8">
        <v>3.25</v>
      </c>
      <c r="D9" s="8">
        <v>26.0</v>
      </c>
      <c r="E9" s="8">
        <v>11180.0</v>
      </c>
      <c r="G9" s="8" t="s">
        <v>21</v>
      </c>
      <c r="H9" s="8">
        <v>16770.0</v>
      </c>
    </row>
    <row r="10">
      <c r="A10" s="8" t="s">
        <v>17</v>
      </c>
      <c r="B10" s="8" t="s">
        <v>19</v>
      </c>
      <c r="C10" s="8">
        <v>0.3611111111111111</v>
      </c>
      <c r="D10" s="8">
        <v>49.833333333333336</v>
      </c>
      <c r="E10" s="8">
        <v>21428.333333333336</v>
      </c>
      <c r="G10" s="8" t="s">
        <v>22</v>
      </c>
      <c r="H10" s="8">
        <v>5016.666666666666</v>
      </c>
    </row>
    <row r="11">
      <c r="A11" s="8" t="s">
        <v>17</v>
      </c>
      <c r="B11" s="8" t="s">
        <v>20</v>
      </c>
      <c r="C11" s="8">
        <v>0.3333333333333333</v>
      </c>
      <c r="D11" s="8">
        <v>10.666666666666666</v>
      </c>
      <c r="E11" s="8">
        <v>4586.666666666666</v>
      </c>
      <c r="G11" s="8" t="s">
        <v>31</v>
      </c>
      <c r="H11" s="8">
        <v>59143.42857142857</v>
      </c>
    </row>
    <row r="12">
      <c r="A12" s="8" t="s">
        <v>17</v>
      </c>
      <c r="B12" s="8" t="s">
        <v>21</v>
      </c>
      <c r="C12" s="8">
        <v>0.3333333333333333</v>
      </c>
      <c r="D12" s="8">
        <v>39.0</v>
      </c>
      <c r="E12" s="8">
        <v>16770.0</v>
      </c>
    </row>
    <row r="13">
      <c r="A13" s="8" t="s">
        <v>17</v>
      </c>
      <c r="B13" s="8" t="s">
        <v>22</v>
      </c>
      <c r="C13" s="8">
        <v>0.3333333333333333</v>
      </c>
      <c r="D13" s="8">
        <v>11.666666666666666</v>
      </c>
      <c r="E13" s="8">
        <v>5016.666666666666</v>
      </c>
    </row>
    <row r="14">
      <c r="A14" s="8" t="s">
        <v>23</v>
      </c>
      <c r="B14" s="8" t="s">
        <v>24</v>
      </c>
      <c r="C14" s="8">
        <v>2.0</v>
      </c>
      <c r="D14" s="8">
        <v>336.0</v>
      </c>
      <c r="E14" s="8">
        <v>144480.0</v>
      </c>
      <c r="G14" s="8" t="s">
        <v>40</v>
      </c>
      <c r="H14" s="8">
        <v>1871451.1190476192</v>
      </c>
    </row>
    <row r="15">
      <c r="A15" s="8" t="s">
        <v>25</v>
      </c>
      <c r="B15" s="8" t="s">
        <v>26</v>
      </c>
      <c r="C15" s="8">
        <v>1.0944444444444443</v>
      </c>
      <c r="D15" s="8">
        <v>1014.5499999999998</v>
      </c>
      <c r="E15" s="8">
        <v>436256.49999999994</v>
      </c>
    </row>
    <row r="16">
      <c r="A16" s="8" t="s">
        <v>27</v>
      </c>
      <c r="B16" s="8" t="s">
        <v>9</v>
      </c>
      <c r="C16" s="8">
        <v>0.2761904761904762</v>
      </c>
      <c r="D16" s="8">
        <v>338.33333333333337</v>
      </c>
      <c r="E16" s="8">
        <v>145483.33333333334</v>
      </c>
    </row>
    <row r="17">
      <c r="A17" s="8" t="s">
        <v>28</v>
      </c>
      <c r="B17" s="8" t="s">
        <v>14</v>
      </c>
      <c r="C17" s="8">
        <v>0.2761904761904762</v>
      </c>
      <c r="D17" s="8">
        <v>137.54285714285714</v>
      </c>
      <c r="E17" s="8">
        <v>59143.42857142857</v>
      </c>
    </row>
    <row r="19">
      <c r="A19" s="6" t="s">
        <v>40</v>
      </c>
      <c r="B19" s="6"/>
      <c r="C19" s="6"/>
      <c r="D19" s="8">
        <v>4352.211904761904</v>
      </c>
      <c r="E19" s="8">
        <v>1871451.1190476192</v>
      </c>
    </row>
    <row r="20">
      <c r="A20" s="6"/>
      <c r="B20" s="6"/>
      <c r="C20" s="6"/>
    </row>
    <row r="21">
      <c r="A21" s="6" t="s">
        <v>3</v>
      </c>
      <c r="C21" s="6"/>
    </row>
    <row r="22">
      <c r="A22" s="6" t="s">
        <v>6</v>
      </c>
      <c r="B22" s="6" t="s">
        <v>7</v>
      </c>
      <c r="C22" s="6"/>
    </row>
    <row r="23">
      <c r="A23" s="8" t="s">
        <v>10</v>
      </c>
      <c r="B23" s="8">
        <v>430.0</v>
      </c>
    </row>
  </sheetData>
  <mergeCells count="1">
    <mergeCell ref="A21:B2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43</v>
      </c>
      <c r="E1" s="6" t="s">
        <v>44</v>
      </c>
      <c r="F1" s="6"/>
      <c r="G1" s="6" t="s">
        <v>40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4</v>
      </c>
      <c r="B2" s="8" t="s">
        <v>5</v>
      </c>
      <c r="C2" s="8">
        <v>1.3333333333333333</v>
      </c>
      <c r="D2" s="8">
        <v>277.3333333333333</v>
      </c>
      <c r="E2" s="8">
        <v>119253.33333333333</v>
      </c>
      <c r="G2" s="8" t="s">
        <v>5</v>
      </c>
      <c r="H2" s="8">
        <v>938546.6666666666</v>
      </c>
    </row>
    <row r="3">
      <c r="A3" s="8" t="s">
        <v>8</v>
      </c>
      <c r="B3" s="8" t="s">
        <v>9</v>
      </c>
      <c r="C3" s="8">
        <v>0.2761904761904762</v>
      </c>
      <c r="D3" s="8">
        <v>52.2</v>
      </c>
      <c r="E3" s="8">
        <v>22446.0</v>
      </c>
      <c r="G3" s="8" t="s">
        <v>24</v>
      </c>
      <c r="H3" s="8">
        <v>151360.0</v>
      </c>
    </row>
    <row r="4">
      <c r="A4" s="8" t="s">
        <v>11</v>
      </c>
      <c r="B4" s="8" t="s">
        <v>5</v>
      </c>
      <c r="C4" s="8">
        <v>1.3333333333333333</v>
      </c>
      <c r="D4" s="8">
        <v>320.0</v>
      </c>
      <c r="E4" s="8">
        <v>137600.0</v>
      </c>
      <c r="G4" s="8" t="s">
        <v>9</v>
      </c>
      <c r="H4" s="8">
        <v>158309.61904761905</v>
      </c>
    </row>
    <row r="5">
      <c r="A5" s="8" t="s">
        <v>12</v>
      </c>
      <c r="B5" s="8" t="s">
        <v>5</v>
      </c>
      <c r="C5" s="8">
        <v>1.3333333333333333</v>
      </c>
      <c r="D5" s="8">
        <v>1542.6666666666665</v>
      </c>
      <c r="E5" s="8">
        <v>663346.6666666666</v>
      </c>
      <c r="G5" s="8" t="s">
        <v>26</v>
      </c>
      <c r="H5" s="8">
        <v>417432.0555555555</v>
      </c>
    </row>
    <row r="6">
      <c r="A6" s="8" t="s">
        <v>13</v>
      </c>
      <c r="B6" s="8" t="s">
        <v>14</v>
      </c>
      <c r="C6" s="8">
        <v>0.0</v>
      </c>
      <c r="D6" s="8">
        <v>0.0</v>
      </c>
      <c r="E6" s="8">
        <v>0.0</v>
      </c>
      <c r="G6" s="8" t="s">
        <v>18</v>
      </c>
      <c r="H6" s="8">
        <v>11180.0</v>
      </c>
    </row>
    <row r="7">
      <c r="A7" s="8" t="s">
        <v>15</v>
      </c>
      <c r="B7" s="8" t="s">
        <v>14</v>
      </c>
      <c r="C7" s="8">
        <v>0.0</v>
      </c>
      <c r="D7" s="8">
        <v>0.0</v>
      </c>
      <c r="E7" s="8">
        <v>0.0</v>
      </c>
      <c r="G7" s="8" t="s">
        <v>19</v>
      </c>
      <c r="H7" s="8">
        <v>20186.11111111111</v>
      </c>
    </row>
    <row r="8">
      <c r="A8" s="8" t="s">
        <v>16</v>
      </c>
      <c r="B8" s="8" t="s">
        <v>5</v>
      </c>
      <c r="C8" s="8">
        <v>1.3333333333333333</v>
      </c>
      <c r="D8" s="8">
        <v>42.666666666666664</v>
      </c>
      <c r="E8" s="8">
        <v>18346.666666666664</v>
      </c>
      <c r="G8" s="8" t="s">
        <v>20</v>
      </c>
      <c r="H8" s="8">
        <v>4586.666666666666</v>
      </c>
    </row>
    <row r="9">
      <c r="A9" s="8" t="s">
        <v>17</v>
      </c>
      <c r="B9" s="8" t="s">
        <v>18</v>
      </c>
      <c r="C9" s="8">
        <v>3.25</v>
      </c>
      <c r="D9" s="8">
        <v>26.0</v>
      </c>
      <c r="E9" s="8">
        <v>11180.0</v>
      </c>
      <c r="G9" s="8" t="s">
        <v>21</v>
      </c>
      <c r="H9" s="8">
        <v>15623.333333333332</v>
      </c>
    </row>
    <row r="10">
      <c r="A10" s="8" t="s">
        <v>17</v>
      </c>
      <c r="B10" s="8" t="s">
        <v>19</v>
      </c>
      <c r="C10" s="8">
        <v>0.3611111111111111</v>
      </c>
      <c r="D10" s="8">
        <v>46.94444444444444</v>
      </c>
      <c r="E10" s="8">
        <v>20186.11111111111</v>
      </c>
      <c r="G10" s="8" t="s">
        <v>22</v>
      </c>
      <c r="H10" s="8">
        <v>6163.333333333333</v>
      </c>
    </row>
    <row r="11">
      <c r="A11" s="8" t="s">
        <v>17</v>
      </c>
      <c r="B11" s="8" t="s">
        <v>20</v>
      </c>
      <c r="C11" s="8">
        <v>0.3333333333333333</v>
      </c>
      <c r="D11" s="8">
        <v>10.666666666666666</v>
      </c>
      <c r="E11" s="8">
        <v>4586.666666666666</v>
      </c>
      <c r="G11" s="8" t="s">
        <v>31</v>
      </c>
      <c r="H11" s="8">
        <v>56293.142857142855</v>
      </c>
    </row>
    <row r="12">
      <c r="A12" s="8" t="s">
        <v>17</v>
      </c>
      <c r="B12" s="8" t="s">
        <v>21</v>
      </c>
      <c r="C12" s="8">
        <v>0.3333333333333333</v>
      </c>
      <c r="D12" s="8">
        <v>36.33333333333333</v>
      </c>
      <c r="E12" s="8">
        <v>15623.333333333332</v>
      </c>
    </row>
    <row r="13">
      <c r="A13" s="8" t="s">
        <v>17</v>
      </c>
      <c r="B13" s="8" t="s">
        <v>22</v>
      </c>
      <c r="C13" s="8">
        <v>0.3333333333333333</v>
      </c>
      <c r="D13" s="8">
        <v>14.333333333333332</v>
      </c>
      <c r="E13" s="8">
        <v>6163.333333333333</v>
      </c>
    </row>
    <row r="14">
      <c r="A14" s="8" t="s">
        <v>23</v>
      </c>
      <c r="B14" s="8" t="s">
        <v>24</v>
      </c>
      <c r="C14" s="8">
        <v>2.0</v>
      </c>
      <c r="D14" s="8">
        <v>352.0</v>
      </c>
      <c r="E14" s="8">
        <v>151360.0</v>
      </c>
    </row>
    <row r="15">
      <c r="A15" s="8" t="s">
        <v>25</v>
      </c>
      <c r="B15" s="8" t="s">
        <v>26</v>
      </c>
      <c r="C15" s="8">
        <v>1.0944444444444443</v>
      </c>
      <c r="D15" s="8">
        <v>970.7722222222221</v>
      </c>
      <c r="E15" s="8">
        <v>417432.0555555555</v>
      </c>
    </row>
    <row r="16">
      <c r="A16" s="8" t="s">
        <v>27</v>
      </c>
      <c r="B16" s="8" t="s">
        <v>9</v>
      </c>
      <c r="C16" s="8">
        <v>0.2761904761904762</v>
      </c>
      <c r="D16" s="8">
        <v>315.9619047619048</v>
      </c>
      <c r="E16" s="8">
        <v>135863.61904761905</v>
      </c>
    </row>
    <row r="17">
      <c r="A17" s="8" t="s">
        <v>28</v>
      </c>
      <c r="B17" s="8" t="s">
        <v>14</v>
      </c>
      <c r="C17" s="8">
        <v>0.2761904761904762</v>
      </c>
      <c r="D17" s="8">
        <v>130.9142857142857</v>
      </c>
      <c r="E17" s="8">
        <v>56293.142857142855</v>
      </c>
    </row>
    <row r="19">
      <c r="A19" s="6" t="s">
        <v>40</v>
      </c>
      <c r="D19" s="8">
        <v>4138.7928571428565</v>
      </c>
      <c r="E19" s="8">
        <v>1779680.9285714284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43</v>
      </c>
      <c r="E1" s="6" t="s">
        <v>44</v>
      </c>
      <c r="F1" s="6"/>
      <c r="G1" s="6" t="s">
        <v>40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4</v>
      </c>
      <c r="B2" s="8" t="s">
        <v>5</v>
      </c>
      <c r="C2" s="8">
        <v>1.3333333333333333</v>
      </c>
      <c r="D2" s="8">
        <v>416.0</v>
      </c>
      <c r="E2" s="8">
        <v>178880.0</v>
      </c>
      <c r="G2" s="8" t="s">
        <v>5</v>
      </c>
      <c r="H2" s="8">
        <v>1367400.0</v>
      </c>
    </row>
    <row r="3">
      <c r="A3" s="8" t="s">
        <v>8</v>
      </c>
      <c r="B3" s="8" t="s">
        <v>9</v>
      </c>
      <c r="C3" s="8">
        <v>0.2761904761904762</v>
      </c>
      <c r="D3" s="8">
        <v>76.22857142857143</v>
      </c>
      <c r="E3" s="8">
        <v>32778.28571428572</v>
      </c>
      <c r="G3" s="8" t="s">
        <v>24</v>
      </c>
      <c r="H3" s="8">
        <v>227040.0</v>
      </c>
    </row>
    <row r="4">
      <c r="A4" s="8" t="s">
        <v>11</v>
      </c>
      <c r="B4" s="8" t="s">
        <v>5</v>
      </c>
      <c r="C4" s="8">
        <v>1.3333333333333333</v>
      </c>
      <c r="D4" s="8">
        <v>466.66666666666663</v>
      </c>
      <c r="E4" s="8">
        <v>200666.66666666666</v>
      </c>
      <c r="G4" s="8" t="s">
        <v>9</v>
      </c>
      <c r="H4" s="8">
        <v>229329.2380952381</v>
      </c>
    </row>
    <row r="5">
      <c r="A5" s="8" t="s">
        <v>12</v>
      </c>
      <c r="B5" s="8" t="s">
        <v>5</v>
      </c>
      <c r="C5" s="8">
        <v>1.3333333333333333</v>
      </c>
      <c r="D5" s="8">
        <v>2250.6666666666665</v>
      </c>
      <c r="E5" s="8">
        <v>967786.6666666666</v>
      </c>
      <c r="G5" s="8" t="s">
        <v>26</v>
      </c>
      <c r="H5" s="8">
        <v>610853.2222222221</v>
      </c>
    </row>
    <row r="6">
      <c r="A6" s="8" t="s">
        <v>13</v>
      </c>
      <c r="B6" s="8" t="s">
        <v>14</v>
      </c>
      <c r="C6" s="8">
        <v>0.0</v>
      </c>
      <c r="D6" s="8">
        <v>0.0</v>
      </c>
      <c r="E6" s="8">
        <v>0.0</v>
      </c>
      <c r="G6" s="8" t="s">
        <v>18</v>
      </c>
      <c r="H6" s="8">
        <v>36335.0</v>
      </c>
    </row>
    <row r="7">
      <c r="A7" s="8" t="s">
        <v>15</v>
      </c>
      <c r="B7" s="8" t="s">
        <v>14</v>
      </c>
      <c r="C7" s="8">
        <v>0.0</v>
      </c>
      <c r="D7" s="8">
        <v>0.0</v>
      </c>
      <c r="E7" s="8">
        <v>0.0</v>
      </c>
      <c r="G7" s="8" t="s">
        <v>19</v>
      </c>
      <c r="H7" s="8">
        <v>24378.61111111111</v>
      </c>
    </row>
    <row r="8">
      <c r="A8" s="8" t="s">
        <v>16</v>
      </c>
      <c r="B8" s="8" t="s">
        <v>5</v>
      </c>
      <c r="C8" s="8">
        <v>1.3333333333333333</v>
      </c>
      <c r="D8" s="8">
        <v>46.666666666666664</v>
      </c>
      <c r="E8" s="8">
        <v>20066.666666666664</v>
      </c>
      <c r="G8" s="8" t="s">
        <v>20</v>
      </c>
      <c r="H8" s="8">
        <v>6880.0</v>
      </c>
    </row>
    <row r="9">
      <c r="A9" s="8" t="s">
        <v>17</v>
      </c>
      <c r="B9" s="8" t="s">
        <v>18</v>
      </c>
      <c r="C9" s="8">
        <v>3.25</v>
      </c>
      <c r="D9" s="8">
        <v>84.5</v>
      </c>
      <c r="E9" s="8">
        <v>36335.0</v>
      </c>
      <c r="G9" s="8" t="s">
        <v>21</v>
      </c>
      <c r="H9" s="8">
        <v>22360.0</v>
      </c>
    </row>
    <row r="10">
      <c r="A10" s="8" t="s">
        <v>17</v>
      </c>
      <c r="B10" s="8" t="s">
        <v>19</v>
      </c>
      <c r="C10" s="8">
        <v>0.3611111111111111</v>
      </c>
      <c r="D10" s="8">
        <v>56.69444444444444</v>
      </c>
      <c r="E10" s="8">
        <v>24378.61111111111</v>
      </c>
      <c r="G10" s="8" t="s">
        <v>22</v>
      </c>
      <c r="H10" s="8">
        <v>8886.666666666666</v>
      </c>
    </row>
    <row r="11">
      <c r="A11" s="8" t="s">
        <v>17</v>
      </c>
      <c r="B11" s="8" t="s">
        <v>20</v>
      </c>
      <c r="C11" s="8">
        <v>0.3333333333333333</v>
      </c>
      <c r="D11" s="8">
        <v>16.0</v>
      </c>
      <c r="E11" s="8">
        <v>6880.0</v>
      </c>
      <c r="G11" s="8" t="s">
        <v>31</v>
      </c>
      <c r="H11" s="8">
        <v>78739.14285714287</v>
      </c>
    </row>
    <row r="12">
      <c r="A12" s="8" t="s">
        <v>17</v>
      </c>
      <c r="B12" s="8" t="s">
        <v>21</v>
      </c>
      <c r="C12" s="8">
        <v>0.3333333333333333</v>
      </c>
      <c r="D12" s="8">
        <v>52.0</v>
      </c>
      <c r="E12" s="8">
        <v>22360.0</v>
      </c>
    </row>
    <row r="13">
      <c r="A13" s="8" t="s">
        <v>17</v>
      </c>
      <c r="B13" s="8" t="s">
        <v>22</v>
      </c>
      <c r="C13" s="8">
        <v>0.3333333333333333</v>
      </c>
      <c r="D13" s="8">
        <v>20.666666666666664</v>
      </c>
      <c r="E13" s="8">
        <v>8886.666666666666</v>
      </c>
      <c r="G13" s="8" t="s">
        <v>40</v>
      </c>
      <c r="H13" s="8">
        <v>2612201.8809523806</v>
      </c>
    </row>
    <row r="14">
      <c r="A14" s="8" t="s">
        <v>23</v>
      </c>
      <c r="B14" s="8" t="s">
        <v>24</v>
      </c>
      <c r="C14" s="8">
        <v>2.0</v>
      </c>
      <c r="D14" s="8">
        <v>528.0</v>
      </c>
      <c r="E14" s="8">
        <v>227040.0</v>
      </c>
    </row>
    <row r="15">
      <c r="A15" s="8" t="s">
        <v>25</v>
      </c>
      <c r="B15" s="8" t="s">
        <v>26</v>
      </c>
      <c r="C15" s="8">
        <v>1.0944444444444443</v>
      </c>
      <c r="D15" s="8">
        <v>1420.5888888888887</v>
      </c>
      <c r="E15" s="8">
        <v>610853.2222222221</v>
      </c>
    </row>
    <row r="16">
      <c r="A16" s="8" t="s">
        <v>27</v>
      </c>
      <c r="B16" s="8" t="s">
        <v>9</v>
      </c>
      <c r="C16" s="8">
        <v>0.2761904761904762</v>
      </c>
      <c r="D16" s="8">
        <v>457.09523809523813</v>
      </c>
      <c r="E16" s="8">
        <v>196550.9523809524</v>
      </c>
    </row>
    <row r="17">
      <c r="A17" s="8" t="s">
        <v>28</v>
      </c>
      <c r="B17" s="8" t="s">
        <v>14</v>
      </c>
      <c r="C17" s="8">
        <v>0.2761904761904762</v>
      </c>
      <c r="D17" s="8">
        <v>183.11428571428573</v>
      </c>
      <c r="E17" s="8">
        <v>78739.14285714287</v>
      </c>
    </row>
    <row r="19">
      <c r="A19" s="6" t="s">
        <v>40</v>
      </c>
      <c r="D19" s="8">
        <v>6074.888095238095</v>
      </c>
      <c r="E19" s="8">
        <v>2612201.8809523806</v>
      </c>
    </row>
  </sheetData>
  <drawing r:id="rId1"/>
</worksheet>
</file>