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hu-my.sharepoint.com/personal/dgreystewart_fas_harvard_edu/Documents/Fall 2026-Danielle's MacBook Pro/ICCAD Github/DRAM Data/"/>
    </mc:Choice>
  </mc:AlternateContent>
  <xr:revisionPtr revIDLastSave="3" documentId="8_{D0DC65C8-6D7D-EF4D-ABC7-F7BEEF22F433}" xr6:coauthVersionLast="47" xr6:coauthVersionMax="47" xr10:uidLastSave="{31DBAA72-E0F1-4E45-9C37-81A139F6D4EA}"/>
  <bookViews>
    <workbookView xWindow="0" yWindow="660" windowWidth="30240" windowHeight="17520" activeTab="7" xr2:uid="{00000000-000D-0000-FFFF-FFFF00000000}"/>
  </bookViews>
  <sheets>
    <sheet name="Legends" sheetId="1" r:id="rId1"/>
    <sheet name="BG1" sheetId="2" r:id="rId2"/>
    <sheet name="BG2" sheetId="3" r:id="rId3"/>
    <sheet name="VG1" sheetId="4" r:id="rId4"/>
    <sheet name="VG2" sheetId="5" r:id="rId5"/>
    <sheet name="VG3" sheetId="6" r:id="rId6"/>
    <sheet name="3D13D2" sheetId="7" r:id="rId7"/>
    <sheet name="IGZ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7" l="1"/>
  <c r="C19" i="7"/>
</calcChain>
</file>

<file path=xl/sharedStrings.xml><?xml version="1.0" encoding="utf-8"?>
<sst xmlns="http://schemas.openxmlformats.org/spreadsheetml/2006/main" count="445" uniqueCount="49">
  <si>
    <t>Module</t>
  </si>
  <si>
    <t>Process Area</t>
  </si>
  <si>
    <t>Energy/Step</t>
  </si>
  <si>
    <t>Electrical Grids</t>
  </si>
  <si>
    <t>ASH</t>
  </si>
  <si>
    <t>Dry Etch</t>
  </si>
  <si>
    <t>Country</t>
  </si>
  <si>
    <t>kWh --&gt; gCO2e conversion factor</t>
  </si>
  <si>
    <t>CMP</t>
  </si>
  <si>
    <t>Wet Etch</t>
  </si>
  <si>
    <t>South Korea</t>
  </si>
  <si>
    <t>DIF</t>
  </si>
  <si>
    <t>ETC</t>
  </si>
  <si>
    <t>Fab In</t>
  </si>
  <si>
    <t>N/A</t>
  </si>
  <si>
    <t>Fab Out</t>
  </si>
  <si>
    <t>IMP</t>
  </si>
  <si>
    <t>LIT</t>
  </si>
  <si>
    <t>EUV</t>
  </si>
  <si>
    <t>ArF-i</t>
  </si>
  <si>
    <t>ArF</t>
  </si>
  <si>
    <t>KrF</t>
  </si>
  <si>
    <t>HG</t>
  </si>
  <si>
    <t>MET</t>
  </si>
  <si>
    <t>Metallization</t>
  </si>
  <si>
    <t>TFM</t>
  </si>
  <si>
    <t>Deposition</t>
  </si>
  <si>
    <t>WET</t>
  </si>
  <si>
    <t>SPIN</t>
  </si>
  <si>
    <t>Step Count</t>
  </si>
  <si>
    <t>Process Module</t>
  </si>
  <si>
    <t>Spin</t>
  </si>
  <si>
    <t>Wafer prep + periphery active</t>
  </si>
  <si>
    <t>Buried WL</t>
  </si>
  <si>
    <t>Periphery + BL contacts</t>
  </si>
  <si>
    <t>Periphery transistor + BL</t>
  </si>
  <si>
    <t>Cell storage node plug</t>
  </si>
  <si>
    <t>Contacts + metal</t>
  </si>
  <si>
    <t>Capacitor patterning + fill</t>
  </si>
  <si>
    <t>Metal layers</t>
  </si>
  <si>
    <t>TOTAL</t>
  </si>
  <si>
    <t>Energy (kWh/wafer)</t>
  </si>
  <si>
    <t>gCo2e/wafer on SK grid</t>
  </si>
  <si>
    <t>Energy * steps (kWh/wafer)</t>
  </si>
  <si>
    <t>gCO2e/wafer, SK grid</t>
  </si>
  <si>
    <t>HAR RIE</t>
  </si>
  <si>
    <t>Cryogenic HAR etch</t>
  </si>
  <si>
    <t>HAR</t>
  </si>
  <si>
    <t>HAR (cryo)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</si>
</sst>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1" xfId="0" applyFont="1" applyBorder="1"/>
    <xf numFmtId="0" fontId="3" fillId="0" borderId="1" xfId="0" applyFont="1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7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1" t="s">
        <v>0</v>
      </c>
      <c r="B1" s="1" t="s">
        <v>1</v>
      </c>
      <c r="C1" s="1" t="s">
        <v>2</v>
      </c>
      <c r="F1" s="11" t="s">
        <v>3</v>
      </c>
      <c r="G1" s="12"/>
    </row>
    <row r="2" spans="1:7" ht="15.75" customHeight="1" x14ac:dyDescent="0.15">
      <c r="A2" s="3" t="s">
        <v>4</v>
      </c>
      <c r="B2" s="3" t="s">
        <v>5</v>
      </c>
      <c r="C2" s="3">
        <v>1.3333333333333333</v>
      </c>
      <c r="F2" s="1" t="s">
        <v>6</v>
      </c>
      <c r="G2" s="1" t="s">
        <v>7</v>
      </c>
    </row>
    <row r="3" spans="1:7" ht="15.75" customHeight="1" x14ac:dyDescent="0.15">
      <c r="A3" s="3" t="s">
        <v>8</v>
      </c>
      <c r="B3" s="3" t="s">
        <v>9</v>
      </c>
      <c r="C3" s="3">
        <v>0.27619047619047621</v>
      </c>
      <c r="F3" s="3" t="s">
        <v>10</v>
      </c>
      <c r="G3" s="3">
        <v>430</v>
      </c>
    </row>
    <row r="4" spans="1:7" ht="15.75" customHeight="1" x14ac:dyDescent="0.15">
      <c r="A4" s="3" t="s">
        <v>11</v>
      </c>
      <c r="B4" s="3" t="s">
        <v>5</v>
      </c>
      <c r="C4" s="3">
        <v>1.3333333333333333</v>
      </c>
    </row>
    <row r="5" spans="1:7" ht="15.75" customHeight="1" x14ac:dyDescent="0.15">
      <c r="A5" s="3" t="s">
        <v>12</v>
      </c>
      <c r="B5" s="3" t="s">
        <v>5</v>
      </c>
      <c r="C5" s="3">
        <v>1.3333333333333333</v>
      </c>
    </row>
    <row r="6" spans="1:7" ht="15.75" customHeight="1" x14ac:dyDescent="0.15">
      <c r="A6" s="3" t="s">
        <v>13</v>
      </c>
      <c r="B6" s="3" t="s">
        <v>14</v>
      </c>
      <c r="C6" s="3">
        <v>0</v>
      </c>
    </row>
    <row r="7" spans="1:7" ht="15.75" customHeight="1" x14ac:dyDescent="0.15">
      <c r="A7" s="3" t="s">
        <v>15</v>
      </c>
      <c r="B7" s="3" t="s">
        <v>14</v>
      </c>
      <c r="C7" s="3">
        <v>0</v>
      </c>
    </row>
    <row r="8" spans="1:7" ht="15.75" customHeight="1" x14ac:dyDescent="0.15">
      <c r="A8" s="3" t="s">
        <v>16</v>
      </c>
      <c r="B8" s="3" t="s">
        <v>5</v>
      </c>
      <c r="C8" s="3">
        <v>1.3333333333333333</v>
      </c>
    </row>
    <row r="9" spans="1:7" ht="15.75" customHeight="1" x14ac:dyDescent="0.15">
      <c r="A9" s="3" t="s">
        <v>17</v>
      </c>
      <c r="B9" s="3" t="s">
        <v>18</v>
      </c>
      <c r="C9" s="3">
        <v>3.25</v>
      </c>
    </row>
    <row r="10" spans="1:7" ht="15.75" customHeight="1" x14ac:dyDescent="0.15">
      <c r="A10" s="3" t="s">
        <v>17</v>
      </c>
      <c r="B10" s="3" t="s">
        <v>19</v>
      </c>
      <c r="C10" s="3">
        <v>0.3611111111111111</v>
      </c>
    </row>
    <row r="11" spans="1:7" ht="15.75" customHeight="1" x14ac:dyDescent="0.15">
      <c r="A11" s="3" t="s">
        <v>17</v>
      </c>
      <c r="B11" s="3" t="s">
        <v>20</v>
      </c>
      <c r="C11" s="3">
        <v>0.33333333333333331</v>
      </c>
    </row>
    <row r="12" spans="1:7" ht="15.75" customHeight="1" x14ac:dyDescent="0.15">
      <c r="A12" s="3" t="s">
        <v>17</v>
      </c>
      <c r="B12" s="3" t="s">
        <v>21</v>
      </c>
      <c r="C12" s="3">
        <v>0.33333333333333331</v>
      </c>
    </row>
    <row r="13" spans="1:7" ht="15.75" customHeight="1" x14ac:dyDescent="0.15">
      <c r="A13" s="3" t="s">
        <v>17</v>
      </c>
      <c r="B13" s="3" t="s">
        <v>22</v>
      </c>
      <c r="C13" s="3">
        <v>0.33333333333333331</v>
      </c>
    </row>
    <row r="14" spans="1:7" ht="15.75" customHeight="1" x14ac:dyDescent="0.15">
      <c r="A14" s="3" t="s">
        <v>23</v>
      </c>
      <c r="B14" s="3" t="s">
        <v>24</v>
      </c>
      <c r="C14" s="3">
        <v>2</v>
      </c>
    </row>
    <row r="15" spans="1:7" ht="15.75" customHeight="1" x14ac:dyDescent="0.15">
      <c r="A15" s="3" t="s">
        <v>25</v>
      </c>
      <c r="B15" s="3" t="s">
        <v>26</v>
      </c>
      <c r="C15" s="3">
        <v>1.0944444444444443</v>
      </c>
    </row>
    <row r="16" spans="1:7" ht="15.75" customHeight="1" x14ac:dyDescent="0.15">
      <c r="A16" s="3" t="s">
        <v>27</v>
      </c>
      <c r="B16" s="3" t="s">
        <v>9</v>
      </c>
      <c r="C16" s="3">
        <v>0.27619047619047621</v>
      </c>
    </row>
    <row r="17" spans="1:3" ht="15.75" customHeight="1" x14ac:dyDescent="0.15">
      <c r="A17" s="3" t="s">
        <v>28</v>
      </c>
      <c r="B17" s="3" t="s">
        <v>9</v>
      </c>
      <c r="C17" s="3">
        <v>0.27619047619047621</v>
      </c>
    </row>
  </sheetData>
  <mergeCells count="1">
    <mergeCell ref="F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38"/>
  <sheetViews>
    <sheetView workbookViewId="0"/>
  </sheetViews>
  <sheetFormatPr baseColWidth="10" defaultColWidth="12.6640625" defaultRowHeight="15.75" customHeight="1" x14ac:dyDescent="0.15"/>
  <cols>
    <col min="1" max="1" width="25.1640625" customWidth="1"/>
  </cols>
  <sheetData>
    <row r="1" spans="1:12" ht="15.75" customHeight="1" x14ac:dyDescent="0.15">
      <c r="A1" s="1"/>
      <c r="B1" s="11" t="s">
        <v>29</v>
      </c>
      <c r="C1" s="12"/>
      <c r="D1" s="12"/>
      <c r="E1" s="12"/>
      <c r="F1" s="12"/>
      <c r="G1" s="12"/>
      <c r="H1" s="12"/>
      <c r="I1" s="12"/>
      <c r="J1" s="12"/>
      <c r="K1" s="12"/>
    </row>
    <row r="2" spans="1:12" ht="15.75" customHeight="1" x14ac:dyDescent="0.15">
      <c r="A2" s="1" t="s">
        <v>30</v>
      </c>
      <c r="B2" s="1" t="s">
        <v>5</v>
      </c>
      <c r="C2" s="1" t="s">
        <v>24</v>
      </c>
      <c r="D2" s="1" t="s">
        <v>9</v>
      </c>
      <c r="E2" s="1" t="s">
        <v>26</v>
      </c>
      <c r="F2" s="4" t="s">
        <v>18</v>
      </c>
      <c r="G2" s="4" t="s">
        <v>19</v>
      </c>
      <c r="H2" s="4" t="s">
        <v>20</v>
      </c>
      <c r="I2" s="4" t="s">
        <v>21</v>
      </c>
      <c r="J2" s="4" t="s">
        <v>22</v>
      </c>
      <c r="K2" s="1" t="s">
        <v>31</v>
      </c>
    </row>
    <row r="3" spans="1:12" ht="15.75" customHeight="1" x14ac:dyDescent="0.15">
      <c r="A3" s="3" t="s">
        <v>32</v>
      </c>
      <c r="B3" s="3">
        <v>58</v>
      </c>
      <c r="C3" s="3">
        <v>0</v>
      </c>
      <c r="D3" s="3">
        <v>40</v>
      </c>
      <c r="E3" s="3">
        <v>14</v>
      </c>
      <c r="F3" s="5">
        <v>0</v>
      </c>
      <c r="G3" s="5">
        <v>4</v>
      </c>
      <c r="H3" s="5">
        <v>0</v>
      </c>
      <c r="I3" s="5">
        <v>1</v>
      </c>
      <c r="J3" s="5">
        <v>5</v>
      </c>
      <c r="K3" s="3">
        <v>13</v>
      </c>
    </row>
    <row r="4" spans="1:12" ht="15.75" customHeight="1" x14ac:dyDescent="0.15">
      <c r="A4" s="3" t="s">
        <v>33</v>
      </c>
      <c r="B4" s="3">
        <v>18</v>
      </c>
      <c r="C4" s="3">
        <v>2</v>
      </c>
      <c r="D4" s="3">
        <v>17</v>
      </c>
      <c r="E4" s="3">
        <v>9</v>
      </c>
      <c r="F4" s="5">
        <v>0</v>
      </c>
      <c r="G4" s="5">
        <v>1</v>
      </c>
      <c r="H4" s="5">
        <v>0</v>
      </c>
      <c r="I4" s="5">
        <v>1</v>
      </c>
      <c r="J4" s="5">
        <v>1</v>
      </c>
      <c r="K4" s="3">
        <v>4</v>
      </c>
    </row>
    <row r="5" spans="1:12" ht="15.75" customHeight="1" x14ac:dyDescent="0.15">
      <c r="A5" s="3" t="s">
        <v>34</v>
      </c>
      <c r="B5" s="3">
        <v>38</v>
      </c>
      <c r="C5" s="3">
        <v>0</v>
      </c>
      <c r="D5" s="3">
        <v>24</v>
      </c>
      <c r="E5" s="3">
        <v>7</v>
      </c>
      <c r="F5" s="5">
        <v>0</v>
      </c>
      <c r="G5" s="5">
        <v>2</v>
      </c>
      <c r="H5" s="5">
        <v>0</v>
      </c>
      <c r="I5" s="5">
        <v>5</v>
      </c>
      <c r="J5" s="5">
        <v>1</v>
      </c>
      <c r="K5" s="3">
        <v>10</v>
      </c>
    </row>
    <row r="6" spans="1:12" ht="15.75" customHeight="1" x14ac:dyDescent="0.15">
      <c r="A6" s="3" t="s">
        <v>35</v>
      </c>
      <c r="B6" s="3">
        <v>39</v>
      </c>
      <c r="C6" s="3">
        <v>3</v>
      </c>
      <c r="D6" s="3">
        <v>29</v>
      </c>
      <c r="E6" s="3">
        <v>11</v>
      </c>
      <c r="F6" s="5">
        <v>0</v>
      </c>
      <c r="G6" s="5">
        <v>1</v>
      </c>
      <c r="H6" s="5">
        <v>1</v>
      </c>
      <c r="I6" s="5">
        <v>6</v>
      </c>
      <c r="J6" s="5">
        <v>2</v>
      </c>
      <c r="K6" s="3">
        <v>11</v>
      </c>
    </row>
    <row r="7" spans="1:12" ht="15.75" customHeight="1" x14ac:dyDescent="0.15">
      <c r="A7" s="3" t="s">
        <v>36</v>
      </c>
      <c r="B7" s="3">
        <v>23</v>
      </c>
      <c r="C7" s="3">
        <v>0</v>
      </c>
      <c r="D7" s="3">
        <v>14</v>
      </c>
      <c r="E7" s="3">
        <v>10</v>
      </c>
      <c r="F7" s="5">
        <v>0</v>
      </c>
      <c r="G7" s="5">
        <v>2</v>
      </c>
      <c r="H7" s="5">
        <v>0</v>
      </c>
      <c r="I7" s="5">
        <v>0</v>
      </c>
      <c r="J7" s="5">
        <v>0</v>
      </c>
      <c r="K7" s="3">
        <v>6</v>
      </c>
    </row>
    <row r="8" spans="1:12" ht="15.75" customHeight="1" x14ac:dyDescent="0.15">
      <c r="A8" s="3" t="s">
        <v>37</v>
      </c>
      <c r="B8" s="3">
        <v>16</v>
      </c>
      <c r="C8" s="3">
        <v>3</v>
      </c>
      <c r="D8" s="3">
        <v>13</v>
      </c>
      <c r="E8" s="3">
        <v>3</v>
      </c>
      <c r="F8" s="5">
        <v>1</v>
      </c>
      <c r="G8" s="5">
        <v>0</v>
      </c>
      <c r="H8" s="5">
        <v>1</v>
      </c>
      <c r="I8" s="5">
        <v>0</v>
      </c>
      <c r="J8" s="5">
        <v>1</v>
      </c>
      <c r="K8" s="3">
        <v>4</v>
      </c>
    </row>
    <row r="9" spans="1:12" ht="15.75" customHeight="1" x14ac:dyDescent="0.15">
      <c r="A9" s="3" t="s">
        <v>38</v>
      </c>
      <c r="B9" s="3">
        <v>31</v>
      </c>
      <c r="C9" s="3">
        <v>0</v>
      </c>
      <c r="D9" s="3">
        <v>20</v>
      </c>
      <c r="E9" s="3">
        <v>19</v>
      </c>
      <c r="F9" s="5">
        <v>0</v>
      </c>
      <c r="G9" s="5">
        <v>2</v>
      </c>
      <c r="H9" s="5">
        <v>1</v>
      </c>
      <c r="I9" s="5">
        <v>1</v>
      </c>
      <c r="J9" s="5">
        <v>0</v>
      </c>
      <c r="K9" s="3">
        <v>7</v>
      </c>
    </row>
    <row r="10" spans="1:12" ht="15.75" customHeight="1" x14ac:dyDescent="0.15">
      <c r="A10" s="3" t="s">
        <v>39</v>
      </c>
      <c r="B10" s="3">
        <v>37</v>
      </c>
      <c r="C10" s="3">
        <v>16</v>
      </c>
      <c r="D10" s="3">
        <v>35</v>
      </c>
      <c r="E10" s="3">
        <v>23</v>
      </c>
      <c r="F10" s="5">
        <v>0</v>
      </c>
      <c r="G10" s="5">
        <v>0</v>
      </c>
      <c r="H10" s="5">
        <v>0</v>
      </c>
      <c r="I10" s="5">
        <v>10</v>
      </c>
      <c r="J10" s="5">
        <v>1</v>
      </c>
      <c r="K10" s="3">
        <v>11</v>
      </c>
    </row>
    <row r="11" spans="1:12" ht="15.75" customHeight="1" x14ac:dyDescent="0.15">
      <c r="A11" s="6" t="s">
        <v>40</v>
      </c>
      <c r="B11" s="7">
        <v>260</v>
      </c>
      <c r="C11" s="7">
        <v>24</v>
      </c>
      <c r="D11" s="7">
        <v>192</v>
      </c>
      <c r="E11" s="7">
        <v>96</v>
      </c>
      <c r="F11" s="7">
        <v>1</v>
      </c>
      <c r="G11" s="7">
        <v>12</v>
      </c>
      <c r="H11" s="7">
        <v>3</v>
      </c>
      <c r="I11" s="7">
        <v>24</v>
      </c>
      <c r="J11" s="7">
        <v>11</v>
      </c>
      <c r="K11" s="7">
        <v>66</v>
      </c>
    </row>
    <row r="12" spans="1:12" ht="15.75" customHeight="1" x14ac:dyDescent="0.15">
      <c r="K12" s="1">
        <v>689</v>
      </c>
    </row>
    <row r="14" spans="1:12" ht="15.75" customHeight="1" x14ac:dyDescent="0.15">
      <c r="B14" s="11" t="s">
        <v>41</v>
      </c>
      <c r="C14" s="12"/>
      <c r="D14" s="12"/>
      <c r="E14" s="12"/>
      <c r="F14" s="12"/>
      <c r="G14" s="12"/>
      <c r="H14" s="12"/>
      <c r="I14" s="12"/>
      <c r="J14" s="12"/>
      <c r="K14" s="12"/>
      <c r="L14" s="2"/>
    </row>
    <row r="15" spans="1:12" ht="15.75" customHeight="1" x14ac:dyDescent="0.15">
      <c r="A15" s="1" t="s">
        <v>30</v>
      </c>
      <c r="B15" s="1" t="s">
        <v>5</v>
      </c>
      <c r="C15" s="1" t="s">
        <v>24</v>
      </c>
      <c r="D15" s="1" t="s">
        <v>9</v>
      </c>
      <c r="E15" s="1" t="s">
        <v>26</v>
      </c>
      <c r="F15" s="1" t="s">
        <v>18</v>
      </c>
      <c r="G15" s="1" t="s">
        <v>19</v>
      </c>
      <c r="H15" s="1" t="s">
        <v>20</v>
      </c>
      <c r="I15" s="1" t="s">
        <v>21</v>
      </c>
      <c r="J15" s="1" t="s">
        <v>22</v>
      </c>
      <c r="K15" s="1" t="s">
        <v>31</v>
      </c>
    </row>
    <row r="16" spans="1:12" ht="15.75" customHeight="1" x14ac:dyDescent="0.15">
      <c r="A16" s="3" t="s">
        <v>32</v>
      </c>
      <c r="B16" s="3">
        <v>77.333333333333329</v>
      </c>
      <c r="C16" s="3">
        <v>0</v>
      </c>
      <c r="D16" s="3">
        <v>11.047619047619047</v>
      </c>
      <c r="E16" s="3">
        <v>15.322222222222221</v>
      </c>
      <c r="F16" s="3">
        <v>0</v>
      </c>
      <c r="G16" s="3">
        <v>1.4444444444444444</v>
      </c>
      <c r="H16" s="3">
        <v>0</v>
      </c>
      <c r="I16" s="3">
        <v>0.33333333333333331</v>
      </c>
      <c r="J16" s="3">
        <v>1.6666666666666665</v>
      </c>
      <c r="K16" s="3">
        <v>3.5904761904761906</v>
      </c>
    </row>
    <row r="17" spans="1:11" ht="15.75" customHeight="1" x14ac:dyDescent="0.15">
      <c r="A17" s="3" t="s">
        <v>33</v>
      </c>
      <c r="B17" s="3">
        <v>24</v>
      </c>
      <c r="C17" s="3">
        <v>4</v>
      </c>
      <c r="D17" s="3">
        <v>4.6952380952380954</v>
      </c>
      <c r="E17" s="3">
        <v>9.85</v>
      </c>
      <c r="F17" s="3">
        <v>0</v>
      </c>
      <c r="G17" s="3">
        <v>0.3611111111111111</v>
      </c>
      <c r="H17" s="3">
        <v>0</v>
      </c>
      <c r="I17" s="3">
        <v>0.33333333333333331</v>
      </c>
      <c r="J17" s="3">
        <v>0.33333333333333331</v>
      </c>
      <c r="K17" s="3">
        <v>1.1047619047619048</v>
      </c>
    </row>
    <row r="18" spans="1:11" ht="15.75" customHeight="1" x14ac:dyDescent="0.15">
      <c r="A18" s="3" t="s">
        <v>34</v>
      </c>
      <c r="B18" s="3">
        <v>50.666666666666664</v>
      </c>
      <c r="C18" s="3">
        <v>0</v>
      </c>
      <c r="D18" s="3">
        <v>6.628571428571429</v>
      </c>
      <c r="E18" s="3">
        <v>7.6611111111111105</v>
      </c>
      <c r="F18" s="3">
        <v>0</v>
      </c>
      <c r="G18" s="3">
        <v>0.72222222222222221</v>
      </c>
      <c r="H18" s="3">
        <v>0</v>
      </c>
      <c r="I18" s="3">
        <v>1.6666666666666665</v>
      </c>
      <c r="J18" s="3">
        <v>0.33333333333333331</v>
      </c>
      <c r="K18" s="3">
        <v>2.7619047619047619</v>
      </c>
    </row>
    <row r="19" spans="1:11" ht="15.75" customHeight="1" x14ac:dyDescent="0.15">
      <c r="A19" s="3" t="s">
        <v>35</v>
      </c>
      <c r="B19" s="3">
        <v>52</v>
      </c>
      <c r="C19" s="3">
        <v>6</v>
      </c>
      <c r="D19" s="3">
        <v>8.0095238095238095</v>
      </c>
      <c r="E19" s="3">
        <v>12.038888888888888</v>
      </c>
      <c r="F19" s="3">
        <v>0</v>
      </c>
      <c r="G19" s="3">
        <v>0.3611111111111111</v>
      </c>
      <c r="H19" s="3">
        <v>0.33333333333333331</v>
      </c>
      <c r="I19" s="3">
        <v>2</v>
      </c>
      <c r="J19" s="3">
        <v>0.66666666666666663</v>
      </c>
      <c r="K19" s="3">
        <v>3.0380952380952384</v>
      </c>
    </row>
    <row r="20" spans="1:11" ht="15.75" customHeight="1" x14ac:dyDescent="0.15">
      <c r="A20" s="3" t="s">
        <v>36</v>
      </c>
      <c r="B20" s="3">
        <v>30.666666666666664</v>
      </c>
      <c r="C20" s="3">
        <v>0</v>
      </c>
      <c r="D20" s="3">
        <v>3.8666666666666671</v>
      </c>
      <c r="E20" s="3">
        <v>10.944444444444443</v>
      </c>
      <c r="F20" s="3">
        <v>0</v>
      </c>
      <c r="G20" s="3">
        <v>0.72222222222222221</v>
      </c>
      <c r="H20" s="3">
        <v>0</v>
      </c>
      <c r="I20" s="3">
        <v>0</v>
      </c>
      <c r="J20" s="3">
        <v>0</v>
      </c>
      <c r="K20" s="3">
        <v>1.6571428571428573</v>
      </c>
    </row>
    <row r="21" spans="1:11" ht="15.75" customHeight="1" x14ac:dyDescent="0.15">
      <c r="A21" s="3" t="s">
        <v>37</v>
      </c>
      <c r="B21" s="3">
        <v>21.333333333333332</v>
      </c>
      <c r="C21" s="3">
        <v>6</v>
      </c>
      <c r="D21" s="3">
        <v>3.5904761904761906</v>
      </c>
      <c r="E21" s="3">
        <v>3.2833333333333332</v>
      </c>
      <c r="F21" s="3">
        <v>3.25</v>
      </c>
      <c r="G21" s="3">
        <v>0</v>
      </c>
      <c r="H21" s="3">
        <v>0.33333333333333331</v>
      </c>
      <c r="I21" s="3">
        <v>0</v>
      </c>
      <c r="J21" s="3">
        <v>0.33333333333333331</v>
      </c>
      <c r="K21" s="3">
        <v>1.1047619047619048</v>
      </c>
    </row>
    <row r="22" spans="1:11" ht="15.75" customHeight="1" x14ac:dyDescent="0.15">
      <c r="A22" s="3" t="s">
        <v>38</v>
      </c>
      <c r="B22" s="3">
        <v>41.333333333333329</v>
      </c>
      <c r="C22" s="3">
        <v>0</v>
      </c>
      <c r="D22" s="3">
        <v>5.5238095238095237</v>
      </c>
      <c r="E22" s="3">
        <v>20.794444444444441</v>
      </c>
      <c r="F22" s="3">
        <v>0</v>
      </c>
      <c r="G22" s="3">
        <v>0.72222222222222221</v>
      </c>
      <c r="H22" s="3">
        <v>0.33333333333333331</v>
      </c>
      <c r="I22" s="3">
        <v>0.33333333333333331</v>
      </c>
      <c r="J22" s="3">
        <v>0</v>
      </c>
      <c r="K22" s="3">
        <v>1.9333333333333336</v>
      </c>
    </row>
    <row r="23" spans="1:11" ht="15.75" customHeight="1" x14ac:dyDescent="0.15">
      <c r="A23" s="3" t="s">
        <v>39</v>
      </c>
      <c r="B23" s="3">
        <v>49.333333333333329</v>
      </c>
      <c r="C23" s="3">
        <v>32</v>
      </c>
      <c r="D23" s="3">
        <v>9.6666666666666679</v>
      </c>
      <c r="E23" s="3">
        <v>25.172222222222221</v>
      </c>
      <c r="F23" s="3">
        <v>0</v>
      </c>
      <c r="G23" s="3">
        <v>0</v>
      </c>
      <c r="H23" s="3">
        <v>0</v>
      </c>
      <c r="I23" s="3">
        <v>3.333333333333333</v>
      </c>
      <c r="J23" s="3">
        <v>0.33333333333333331</v>
      </c>
      <c r="K23" s="3">
        <v>3.0380952380952384</v>
      </c>
    </row>
    <row r="24" spans="1:11" ht="15.75" customHeight="1" x14ac:dyDescent="0.15">
      <c r="A24" s="6" t="s">
        <v>40</v>
      </c>
      <c r="B24" s="7">
        <v>346.66666666666663</v>
      </c>
      <c r="C24" s="7">
        <v>48</v>
      </c>
      <c r="D24" s="7">
        <v>53.028571428571439</v>
      </c>
      <c r="E24" s="7">
        <v>105.06666666666665</v>
      </c>
      <c r="F24" s="7">
        <v>3.25</v>
      </c>
      <c r="G24" s="7">
        <v>4.333333333333333</v>
      </c>
      <c r="H24" s="7">
        <v>1</v>
      </c>
      <c r="I24" s="7">
        <v>7.9999999999999991</v>
      </c>
      <c r="J24" s="7">
        <v>3.6666666666666665</v>
      </c>
      <c r="K24" s="7">
        <v>18.228571428571428</v>
      </c>
    </row>
    <row r="25" spans="1:11" ht="15.75" customHeight="1" x14ac:dyDescent="0.15">
      <c r="K25" s="1">
        <v>591.2404761904761</v>
      </c>
    </row>
    <row r="27" spans="1:11" ht="15.75" customHeight="1" x14ac:dyDescent="0.15">
      <c r="B27" s="11" t="s">
        <v>42</v>
      </c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.75" customHeight="1" x14ac:dyDescent="0.15">
      <c r="A28" s="1" t="s">
        <v>30</v>
      </c>
      <c r="B28" s="1" t="s">
        <v>5</v>
      </c>
      <c r="C28" s="1" t="s">
        <v>24</v>
      </c>
      <c r="D28" s="1" t="s">
        <v>9</v>
      </c>
      <c r="E28" s="1" t="s">
        <v>26</v>
      </c>
      <c r="F28" s="1" t="s">
        <v>18</v>
      </c>
      <c r="G28" s="1" t="s">
        <v>19</v>
      </c>
      <c r="H28" s="1" t="s">
        <v>20</v>
      </c>
      <c r="I28" s="1" t="s">
        <v>21</v>
      </c>
      <c r="J28" s="1" t="s">
        <v>22</v>
      </c>
      <c r="K28" s="1" t="s">
        <v>31</v>
      </c>
    </row>
    <row r="29" spans="1:11" ht="15.75" customHeight="1" x14ac:dyDescent="0.15">
      <c r="A29" s="3" t="s">
        <v>32</v>
      </c>
      <c r="B29" s="3">
        <v>33253.333333333328</v>
      </c>
      <c r="C29" s="3">
        <v>0</v>
      </c>
      <c r="D29" s="3">
        <v>4750.4761904761908</v>
      </c>
      <c r="E29" s="3">
        <v>6588.5555555555547</v>
      </c>
      <c r="F29" s="3">
        <v>0</v>
      </c>
      <c r="G29" s="3">
        <v>621.11111111111109</v>
      </c>
      <c r="H29" s="3">
        <v>0</v>
      </c>
      <c r="I29" s="3">
        <v>143.33333333333331</v>
      </c>
      <c r="J29" s="3">
        <v>716.66666666666663</v>
      </c>
      <c r="K29" s="3">
        <v>1543.9047619047619</v>
      </c>
    </row>
    <row r="30" spans="1:11" ht="15.75" customHeight="1" x14ac:dyDescent="0.15">
      <c r="A30" s="3" t="s">
        <v>33</v>
      </c>
      <c r="B30" s="3">
        <v>10320</v>
      </c>
      <c r="C30" s="3">
        <v>1720</v>
      </c>
      <c r="D30" s="3">
        <v>2018.952380952381</v>
      </c>
      <c r="E30" s="3">
        <v>4235.5</v>
      </c>
      <c r="F30" s="3">
        <v>0</v>
      </c>
      <c r="G30" s="3">
        <v>155.27777777777777</v>
      </c>
      <c r="H30" s="3">
        <v>0</v>
      </c>
      <c r="I30" s="3">
        <v>143.33333333333331</v>
      </c>
      <c r="J30" s="3">
        <v>143.33333333333331</v>
      </c>
      <c r="K30" s="3">
        <v>475.04761904761909</v>
      </c>
    </row>
    <row r="31" spans="1:11" ht="15.75" customHeight="1" x14ac:dyDescent="0.15">
      <c r="A31" s="3" t="s">
        <v>34</v>
      </c>
      <c r="B31" s="3">
        <v>21786.666666666664</v>
      </c>
      <c r="C31" s="3">
        <v>0</v>
      </c>
      <c r="D31" s="3">
        <v>2850.2857142857147</v>
      </c>
      <c r="E31" s="3">
        <v>3294.2777777777774</v>
      </c>
      <c r="F31" s="3">
        <v>0</v>
      </c>
      <c r="G31" s="3">
        <v>310.55555555555554</v>
      </c>
      <c r="H31" s="3">
        <v>0</v>
      </c>
      <c r="I31" s="3">
        <v>716.66666666666663</v>
      </c>
      <c r="J31" s="3">
        <v>143.33333333333331</v>
      </c>
      <c r="K31" s="3">
        <v>1187.6190476190477</v>
      </c>
    </row>
    <row r="32" spans="1:11" ht="15.75" customHeight="1" x14ac:dyDescent="0.15">
      <c r="A32" s="3" t="s">
        <v>35</v>
      </c>
      <c r="B32" s="3">
        <v>22360</v>
      </c>
      <c r="C32" s="3">
        <v>2580</v>
      </c>
      <c r="D32" s="3">
        <v>3444.0952380952381</v>
      </c>
      <c r="E32" s="3">
        <v>5176.7222222222217</v>
      </c>
      <c r="F32" s="3">
        <v>0</v>
      </c>
      <c r="G32" s="3">
        <v>155.27777777777777</v>
      </c>
      <c r="H32" s="3">
        <v>143.33333333333331</v>
      </c>
      <c r="I32" s="3">
        <v>860</v>
      </c>
      <c r="J32" s="3">
        <v>286.66666666666663</v>
      </c>
      <c r="K32" s="3">
        <v>1306.3809523809525</v>
      </c>
    </row>
    <row r="33" spans="1:11" ht="15.75" customHeight="1" x14ac:dyDescent="0.15">
      <c r="A33" s="3" t="s">
        <v>36</v>
      </c>
      <c r="B33" s="3">
        <v>13186.666666666666</v>
      </c>
      <c r="C33" s="3">
        <v>0</v>
      </c>
      <c r="D33" s="3">
        <v>1662.666666666667</v>
      </c>
      <c r="E33" s="3">
        <v>4706.1111111111104</v>
      </c>
      <c r="F33" s="3">
        <v>0</v>
      </c>
      <c r="G33" s="3">
        <v>310.55555555555554</v>
      </c>
      <c r="H33" s="3">
        <v>0</v>
      </c>
      <c r="I33" s="3">
        <v>0</v>
      </c>
      <c r="J33" s="3">
        <v>0</v>
      </c>
      <c r="K33" s="3">
        <v>712.57142857142867</v>
      </c>
    </row>
    <row r="34" spans="1:11" ht="15.75" customHeight="1" x14ac:dyDescent="0.15">
      <c r="A34" s="3" t="s">
        <v>37</v>
      </c>
      <c r="B34" s="3">
        <v>9173.3333333333321</v>
      </c>
      <c r="C34" s="3">
        <v>2580</v>
      </c>
      <c r="D34" s="3">
        <v>1543.9047619047619</v>
      </c>
      <c r="E34" s="3">
        <v>1411.8333333333333</v>
      </c>
      <c r="F34" s="3">
        <v>1397.5</v>
      </c>
      <c r="G34" s="3">
        <v>0</v>
      </c>
      <c r="H34" s="3">
        <v>143.33333333333331</v>
      </c>
      <c r="I34" s="3">
        <v>0</v>
      </c>
      <c r="J34" s="3">
        <v>143.33333333333331</v>
      </c>
      <c r="K34" s="3">
        <v>475.04761904761909</v>
      </c>
    </row>
    <row r="35" spans="1:11" ht="15.75" customHeight="1" x14ac:dyDescent="0.15">
      <c r="A35" s="3" t="s">
        <v>38</v>
      </c>
      <c r="B35" s="3">
        <v>17773.333333333332</v>
      </c>
      <c r="C35" s="3">
        <v>0</v>
      </c>
      <c r="D35" s="3">
        <v>2375.2380952380954</v>
      </c>
      <c r="E35" s="3">
        <v>8941.6111111111095</v>
      </c>
      <c r="F35" s="3">
        <v>0</v>
      </c>
      <c r="G35" s="3">
        <v>310.55555555555554</v>
      </c>
      <c r="H35" s="3">
        <v>143.33333333333331</v>
      </c>
      <c r="I35" s="3">
        <v>143.33333333333331</v>
      </c>
      <c r="J35" s="3">
        <v>0</v>
      </c>
      <c r="K35" s="3">
        <v>831.33333333333348</v>
      </c>
    </row>
    <row r="36" spans="1:11" ht="15.75" customHeight="1" x14ac:dyDescent="0.15">
      <c r="A36" s="3" t="s">
        <v>39</v>
      </c>
      <c r="B36" s="3">
        <v>21213.333333333332</v>
      </c>
      <c r="C36" s="3">
        <v>13760</v>
      </c>
      <c r="D36" s="3">
        <v>4156.666666666667</v>
      </c>
      <c r="E36" s="3">
        <v>10824.055555555555</v>
      </c>
      <c r="F36" s="3">
        <v>0</v>
      </c>
      <c r="G36" s="3">
        <v>0</v>
      </c>
      <c r="H36" s="3">
        <v>0</v>
      </c>
      <c r="I36" s="3">
        <v>1433.3333333333333</v>
      </c>
      <c r="J36" s="3">
        <v>143.33333333333331</v>
      </c>
      <c r="K36" s="3">
        <v>1306.3809523809525</v>
      </c>
    </row>
    <row r="37" spans="1:11" ht="15.75" customHeight="1" x14ac:dyDescent="0.15">
      <c r="A37" s="6" t="s">
        <v>40</v>
      </c>
      <c r="B37" s="7">
        <v>149066.66666666666</v>
      </c>
      <c r="C37" s="7">
        <v>20640</v>
      </c>
      <c r="D37" s="7">
        <v>22802.285714285714</v>
      </c>
      <c r="E37" s="7">
        <v>45178.666666666664</v>
      </c>
      <c r="F37" s="7">
        <v>1397.5</v>
      </c>
      <c r="G37" s="7">
        <v>1863.3333333333335</v>
      </c>
      <c r="H37" s="7">
        <v>429.99999999999994</v>
      </c>
      <c r="I37" s="7">
        <v>3440</v>
      </c>
      <c r="J37" s="7">
        <v>1576.6666666666665</v>
      </c>
      <c r="K37" s="7">
        <v>7838.2857142857138</v>
      </c>
    </row>
    <row r="38" spans="1:11" ht="15.75" customHeight="1" x14ac:dyDescent="0.15">
      <c r="K38" s="1">
        <v>254233.40476190473</v>
      </c>
    </row>
  </sheetData>
  <mergeCells count="3">
    <mergeCell ref="B1:K1"/>
    <mergeCell ref="B14:K14"/>
    <mergeCell ref="B27:K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23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43</v>
      </c>
      <c r="E1" s="1" t="s">
        <v>44</v>
      </c>
      <c r="F1" s="1"/>
      <c r="G1" s="1" t="s">
        <v>40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4</v>
      </c>
      <c r="B2" s="3" t="s">
        <v>5</v>
      </c>
      <c r="C2" s="3">
        <v>1.3333333333333333</v>
      </c>
      <c r="D2" s="3">
        <v>61.333333333333329</v>
      </c>
      <c r="E2" s="3">
        <v>26373.333333333332</v>
      </c>
      <c r="G2" s="3" t="s">
        <v>5</v>
      </c>
      <c r="H2" s="3">
        <v>143333.33333333331</v>
      </c>
    </row>
    <row r="3" spans="1:26" ht="15.75" customHeight="1" x14ac:dyDescent="0.15">
      <c r="A3" s="3" t="s">
        <v>8</v>
      </c>
      <c r="B3" s="3" t="s">
        <v>9</v>
      </c>
      <c r="C3" s="3">
        <v>0.27619047619047621</v>
      </c>
      <c r="D3" s="3">
        <v>4.9714285714285715</v>
      </c>
      <c r="E3" s="3">
        <v>2137.7142857142858</v>
      </c>
      <c r="G3" s="3" t="s">
        <v>24</v>
      </c>
      <c r="H3" s="3">
        <v>20640</v>
      </c>
    </row>
    <row r="4" spans="1:26" ht="15.75" customHeight="1" x14ac:dyDescent="0.15">
      <c r="A4" s="3" t="s">
        <v>11</v>
      </c>
      <c r="B4" s="3" t="s">
        <v>5</v>
      </c>
      <c r="C4" s="3">
        <v>1.3333333333333333</v>
      </c>
      <c r="D4" s="3">
        <v>41.333333333333329</v>
      </c>
      <c r="E4" s="3">
        <v>17773.333333333332</v>
      </c>
      <c r="G4" s="3" t="s">
        <v>9</v>
      </c>
      <c r="H4" s="3">
        <v>22802.285714285714</v>
      </c>
    </row>
    <row r="5" spans="1:26" ht="15.75" customHeight="1" x14ac:dyDescent="0.15">
      <c r="A5" s="3" t="s">
        <v>12</v>
      </c>
      <c r="B5" s="3" t="s">
        <v>5</v>
      </c>
      <c r="C5" s="3">
        <v>1.3333333333333333</v>
      </c>
      <c r="D5" s="3">
        <v>188</v>
      </c>
      <c r="E5" s="3">
        <v>80840</v>
      </c>
      <c r="G5" s="3" t="s">
        <v>26</v>
      </c>
      <c r="H5" s="3">
        <v>45178.666666666664</v>
      </c>
    </row>
    <row r="6" spans="1:26" ht="15.75" customHeight="1" x14ac:dyDescent="0.15">
      <c r="A6" s="3" t="s">
        <v>13</v>
      </c>
      <c r="B6" s="3" t="s">
        <v>14</v>
      </c>
      <c r="C6" s="3">
        <v>0</v>
      </c>
      <c r="D6" s="3">
        <v>0</v>
      </c>
      <c r="E6" s="3">
        <v>0</v>
      </c>
      <c r="G6" s="3" t="s">
        <v>18</v>
      </c>
      <c r="H6" s="3">
        <v>18167.5</v>
      </c>
    </row>
    <row r="7" spans="1:26" ht="15.75" customHeight="1" x14ac:dyDescent="0.15">
      <c r="A7" s="3" t="s">
        <v>15</v>
      </c>
      <c r="B7" s="3" t="s">
        <v>14</v>
      </c>
      <c r="C7" s="3">
        <v>0</v>
      </c>
      <c r="D7" s="3">
        <v>0</v>
      </c>
      <c r="E7" s="3">
        <v>0</v>
      </c>
      <c r="G7" s="3" t="s">
        <v>19</v>
      </c>
      <c r="H7" s="3">
        <v>0</v>
      </c>
    </row>
    <row r="8" spans="1:26" ht="15.75" customHeight="1" x14ac:dyDescent="0.15">
      <c r="A8" s="3" t="s">
        <v>16</v>
      </c>
      <c r="B8" s="3" t="s">
        <v>5</v>
      </c>
      <c r="C8" s="3">
        <v>1.3333333333333333</v>
      </c>
      <c r="D8" s="3">
        <v>42.666666666666664</v>
      </c>
      <c r="E8" s="3">
        <v>18346.666666666664</v>
      </c>
      <c r="G8" s="3" t="s">
        <v>20</v>
      </c>
      <c r="H8" s="3">
        <v>430</v>
      </c>
    </row>
    <row r="9" spans="1:26" ht="15.75" customHeight="1" x14ac:dyDescent="0.15">
      <c r="A9" s="3" t="s">
        <v>17</v>
      </c>
      <c r="B9" s="3" t="s">
        <v>18</v>
      </c>
      <c r="C9" s="3">
        <v>3.25</v>
      </c>
      <c r="D9" s="3">
        <v>42.25</v>
      </c>
      <c r="E9" s="3">
        <v>18167.5</v>
      </c>
      <c r="G9" s="3" t="s">
        <v>21</v>
      </c>
      <c r="H9" s="3">
        <v>3440</v>
      </c>
    </row>
    <row r="10" spans="1:26" ht="15.75" customHeight="1" x14ac:dyDescent="0.15">
      <c r="A10" s="3" t="s">
        <v>17</v>
      </c>
      <c r="B10" s="3" t="s">
        <v>19</v>
      </c>
      <c r="C10" s="3">
        <v>0.3611111111111111</v>
      </c>
      <c r="D10" s="3">
        <v>0</v>
      </c>
      <c r="E10" s="3">
        <v>0</v>
      </c>
      <c r="G10" s="3" t="s">
        <v>22</v>
      </c>
      <c r="H10" s="3">
        <v>1576.6666666666665</v>
      </c>
    </row>
    <row r="11" spans="1:26" ht="15.75" customHeight="1" x14ac:dyDescent="0.15">
      <c r="A11" s="3" t="s">
        <v>17</v>
      </c>
      <c r="B11" s="3" t="s">
        <v>20</v>
      </c>
      <c r="C11" s="3">
        <v>0.33333333333333331</v>
      </c>
      <c r="D11" s="3">
        <v>1</v>
      </c>
      <c r="E11" s="3">
        <v>430</v>
      </c>
      <c r="G11" s="3" t="s">
        <v>31</v>
      </c>
      <c r="H11" s="3">
        <v>7838.2857142857156</v>
      </c>
    </row>
    <row r="12" spans="1:26" ht="15.75" customHeight="1" x14ac:dyDescent="0.15">
      <c r="A12" s="3" t="s">
        <v>17</v>
      </c>
      <c r="B12" s="3" t="s">
        <v>21</v>
      </c>
      <c r="C12" s="3">
        <v>0.33333333333333331</v>
      </c>
      <c r="D12" s="3">
        <v>8</v>
      </c>
      <c r="E12" s="3">
        <v>3440</v>
      </c>
    </row>
    <row r="13" spans="1:26" ht="15.75" customHeight="1" x14ac:dyDescent="0.15">
      <c r="A13" s="3" t="s">
        <v>17</v>
      </c>
      <c r="B13" s="3" t="s">
        <v>22</v>
      </c>
      <c r="C13" s="3">
        <v>0.33333333333333331</v>
      </c>
      <c r="D13" s="3">
        <v>3.6666666666666665</v>
      </c>
      <c r="E13" s="3">
        <v>1576.6666666666665</v>
      </c>
      <c r="H13" s="3">
        <v>263406.73809523805</v>
      </c>
    </row>
    <row r="14" spans="1:26" ht="15.75" customHeight="1" x14ac:dyDescent="0.15">
      <c r="A14" s="3" t="s">
        <v>23</v>
      </c>
      <c r="B14" s="3" t="s">
        <v>24</v>
      </c>
      <c r="C14" s="3">
        <v>2</v>
      </c>
      <c r="D14" s="3">
        <v>48</v>
      </c>
      <c r="E14" s="3">
        <v>20640</v>
      </c>
    </row>
    <row r="15" spans="1:26" ht="15.75" customHeight="1" x14ac:dyDescent="0.15">
      <c r="A15" s="3" t="s">
        <v>25</v>
      </c>
      <c r="B15" s="3" t="s">
        <v>26</v>
      </c>
      <c r="C15" s="3">
        <v>1.0944444444444443</v>
      </c>
      <c r="D15" s="3">
        <v>105.06666666666666</v>
      </c>
      <c r="E15" s="3">
        <v>45178.666666666664</v>
      </c>
    </row>
    <row r="16" spans="1:26" ht="15.75" customHeight="1" x14ac:dyDescent="0.15">
      <c r="A16" s="3" t="s">
        <v>27</v>
      </c>
      <c r="B16" s="3" t="s">
        <v>9</v>
      </c>
      <c r="C16" s="3">
        <v>0.27619047619047621</v>
      </c>
      <c r="D16" s="3">
        <v>48.057142857142857</v>
      </c>
      <c r="E16" s="3">
        <v>20664.571428571428</v>
      </c>
    </row>
    <row r="17" spans="1:5" ht="15.75" customHeight="1" x14ac:dyDescent="0.15">
      <c r="A17" s="3" t="s">
        <v>28</v>
      </c>
      <c r="B17" s="3" t="s">
        <v>14</v>
      </c>
      <c r="C17" s="3">
        <v>0.27619047619047621</v>
      </c>
      <c r="D17" s="3">
        <v>18.228571428571431</v>
      </c>
      <c r="E17" s="3">
        <v>7838.2857142857156</v>
      </c>
    </row>
    <row r="19" spans="1:5" ht="15.75" customHeight="1" x14ac:dyDescent="0.15">
      <c r="A19" s="1" t="s">
        <v>40</v>
      </c>
      <c r="B19" s="1"/>
      <c r="D19" s="3">
        <v>612.57380952380947</v>
      </c>
      <c r="E19" s="3">
        <v>263406.73809523805</v>
      </c>
    </row>
    <row r="20" spans="1:5" ht="15.75" customHeight="1" x14ac:dyDescent="0.15">
      <c r="A20" s="1"/>
      <c r="B20" s="1"/>
    </row>
    <row r="21" spans="1:5" ht="15.75" customHeight="1" x14ac:dyDescent="0.15">
      <c r="A21" s="13" t="s">
        <v>3</v>
      </c>
      <c r="B21" s="12"/>
    </row>
    <row r="22" spans="1:5" ht="15.75" customHeight="1" x14ac:dyDescent="0.15">
      <c r="A22" s="1" t="s">
        <v>6</v>
      </c>
      <c r="B22" s="1" t="s">
        <v>7</v>
      </c>
    </row>
    <row r="23" spans="1:5" ht="15.75" customHeight="1" x14ac:dyDescent="0.15">
      <c r="A23" s="3" t="s">
        <v>10</v>
      </c>
      <c r="B23" s="3">
        <v>430</v>
      </c>
    </row>
  </sheetData>
  <mergeCells count="1">
    <mergeCell ref="A21:B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23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43</v>
      </c>
      <c r="E1" s="1" t="s">
        <v>44</v>
      </c>
      <c r="F1" s="1"/>
      <c r="G1" s="1" t="s">
        <v>40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4</v>
      </c>
      <c r="B2" s="3" t="s">
        <v>5</v>
      </c>
      <c r="C2" s="3">
        <v>1.3333333333333333</v>
      </c>
      <c r="D2" s="3">
        <v>61.333333333333329</v>
      </c>
      <c r="E2" s="3">
        <v>26373.333333333332</v>
      </c>
      <c r="G2" s="3" t="s">
        <v>5</v>
      </c>
      <c r="H2" s="3">
        <v>148493.33333333331</v>
      </c>
    </row>
    <row r="3" spans="1:26" ht="15.75" customHeight="1" x14ac:dyDescent="0.15">
      <c r="A3" s="3" t="s">
        <v>8</v>
      </c>
      <c r="B3" s="3" t="s">
        <v>9</v>
      </c>
      <c r="C3" s="3">
        <v>0.27619047619047621</v>
      </c>
      <c r="D3" s="3">
        <v>5.2476190476190476</v>
      </c>
      <c r="E3" s="3">
        <v>2256.4761904761904</v>
      </c>
      <c r="G3" s="3" t="s">
        <v>24</v>
      </c>
      <c r="H3" s="3">
        <v>20640</v>
      </c>
    </row>
    <row r="4" spans="1:26" ht="15.75" customHeight="1" x14ac:dyDescent="0.15">
      <c r="A4" s="3" t="s">
        <v>11</v>
      </c>
      <c r="B4" s="3" t="s">
        <v>5</v>
      </c>
      <c r="C4" s="3">
        <v>1.3333333333333333</v>
      </c>
      <c r="D4" s="3">
        <v>41.333333333333329</v>
      </c>
      <c r="E4" s="3">
        <v>17773.333333333332</v>
      </c>
      <c r="G4" s="3" t="s">
        <v>9</v>
      </c>
      <c r="H4" s="3">
        <v>22921.047619047618</v>
      </c>
    </row>
    <row r="5" spans="1:26" ht="15.75" customHeight="1" x14ac:dyDescent="0.15">
      <c r="A5" s="3" t="s">
        <v>12</v>
      </c>
      <c r="B5" s="3" t="s">
        <v>5</v>
      </c>
      <c r="C5" s="3">
        <v>1.3333333333333333</v>
      </c>
      <c r="D5" s="3">
        <v>200</v>
      </c>
      <c r="E5" s="3">
        <v>86000</v>
      </c>
      <c r="G5" s="3" t="s">
        <v>26</v>
      </c>
      <c r="H5" s="3">
        <v>45649.277777777774</v>
      </c>
    </row>
    <row r="6" spans="1:26" ht="15.75" customHeight="1" x14ac:dyDescent="0.15">
      <c r="A6" s="3" t="s">
        <v>13</v>
      </c>
      <c r="B6" s="3" t="s">
        <v>14</v>
      </c>
      <c r="C6" s="3">
        <v>0</v>
      </c>
      <c r="D6" s="3">
        <v>0</v>
      </c>
      <c r="E6" s="3">
        <v>0</v>
      </c>
      <c r="G6" s="3" t="s">
        <v>18</v>
      </c>
      <c r="H6" s="3">
        <v>1397.5</v>
      </c>
    </row>
    <row r="7" spans="1:26" ht="15.75" customHeight="1" x14ac:dyDescent="0.15">
      <c r="A7" s="3" t="s">
        <v>15</v>
      </c>
      <c r="B7" s="3" t="s">
        <v>14</v>
      </c>
      <c r="C7" s="3">
        <v>0</v>
      </c>
      <c r="D7" s="3">
        <v>0</v>
      </c>
      <c r="E7" s="3">
        <v>0</v>
      </c>
      <c r="G7" s="3" t="s">
        <v>19</v>
      </c>
      <c r="H7" s="3">
        <v>1552.7777777777778</v>
      </c>
    </row>
    <row r="8" spans="1:26" ht="15.75" customHeight="1" x14ac:dyDescent="0.15">
      <c r="A8" s="3" t="s">
        <v>16</v>
      </c>
      <c r="B8" s="3" t="s">
        <v>5</v>
      </c>
      <c r="C8" s="3">
        <v>1.3333333333333333</v>
      </c>
      <c r="D8" s="3">
        <v>42.666666666666664</v>
      </c>
      <c r="E8" s="3">
        <v>18346.666666666664</v>
      </c>
      <c r="G8" s="3" t="s">
        <v>20</v>
      </c>
      <c r="H8" s="3">
        <v>430</v>
      </c>
    </row>
    <row r="9" spans="1:26" ht="15.75" customHeight="1" x14ac:dyDescent="0.15">
      <c r="A9" s="3" t="s">
        <v>17</v>
      </c>
      <c r="B9" s="3" t="s">
        <v>18</v>
      </c>
      <c r="C9" s="3">
        <v>3.25</v>
      </c>
      <c r="D9" s="3">
        <v>3.25</v>
      </c>
      <c r="E9" s="3">
        <v>1397.5</v>
      </c>
      <c r="G9" s="3" t="s">
        <v>21</v>
      </c>
      <c r="H9" s="3">
        <v>3440</v>
      </c>
    </row>
    <row r="10" spans="1:26" ht="15.75" customHeight="1" x14ac:dyDescent="0.15">
      <c r="A10" s="3" t="s">
        <v>17</v>
      </c>
      <c r="B10" s="3" t="s">
        <v>19</v>
      </c>
      <c r="C10" s="3">
        <v>0.3611111111111111</v>
      </c>
      <c r="D10" s="3">
        <v>3.6111111111111112</v>
      </c>
      <c r="E10" s="3">
        <v>1552.7777777777778</v>
      </c>
      <c r="G10" s="3" t="s">
        <v>22</v>
      </c>
      <c r="H10" s="3">
        <v>1720</v>
      </c>
    </row>
    <row r="11" spans="1:26" ht="15.75" customHeight="1" x14ac:dyDescent="0.15">
      <c r="A11" s="3" t="s">
        <v>17</v>
      </c>
      <c r="B11" s="3" t="s">
        <v>20</v>
      </c>
      <c r="C11" s="3">
        <v>0.33333333333333331</v>
      </c>
      <c r="D11" s="3">
        <v>1</v>
      </c>
      <c r="E11" s="3">
        <v>430</v>
      </c>
      <c r="G11" s="3" t="s">
        <v>31</v>
      </c>
      <c r="H11" s="3">
        <v>7600.7619047619055</v>
      </c>
    </row>
    <row r="12" spans="1:26" ht="15.75" customHeight="1" x14ac:dyDescent="0.15">
      <c r="A12" s="3" t="s">
        <v>17</v>
      </c>
      <c r="B12" s="3" t="s">
        <v>21</v>
      </c>
      <c r="C12" s="3">
        <v>0.33333333333333331</v>
      </c>
      <c r="D12" s="3">
        <v>8</v>
      </c>
      <c r="E12" s="3">
        <v>3440</v>
      </c>
    </row>
    <row r="13" spans="1:26" ht="15.75" customHeight="1" x14ac:dyDescent="0.15">
      <c r="A13" s="3" t="s">
        <v>17</v>
      </c>
      <c r="B13" s="3" t="s">
        <v>22</v>
      </c>
      <c r="C13" s="3">
        <v>0.33333333333333331</v>
      </c>
      <c r="D13" s="3">
        <v>4</v>
      </c>
      <c r="E13" s="3">
        <v>1720</v>
      </c>
      <c r="H13" s="3">
        <v>253844.6984126984</v>
      </c>
    </row>
    <row r="14" spans="1:26" ht="15.75" customHeight="1" x14ac:dyDescent="0.15">
      <c r="A14" s="3" t="s">
        <v>23</v>
      </c>
      <c r="B14" s="3" t="s">
        <v>24</v>
      </c>
      <c r="C14" s="3">
        <v>2</v>
      </c>
      <c r="D14" s="3">
        <v>48</v>
      </c>
      <c r="E14" s="3">
        <v>20640</v>
      </c>
    </row>
    <row r="15" spans="1:26" ht="15.75" customHeight="1" x14ac:dyDescent="0.15">
      <c r="A15" s="3" t="s">
        <v>25</v>
      </c>
      <c r="B15" s="3" t="s">
        <v>26</v>
      </c>
      <c r="C15" s="3">
        <v>1.0944444444444443</v>
      </c>
      <c r="D15" s="3">
        <v>106.1611111111111</v>
      </c>
      <c r="E15" s="3">
        <v>45649.277777777774</v>
      </c>
    </row>
    <row r="16" spans="1:26" ht="15.75" customHeight="1" x14ac:dyDescent="0.15">
      <c r="A16" s="3" t="s">
        <v>27</v>
      </c>
      <c r="B16" s="3" t="s">
        <v>9</v>
      </c>
      <c r="C16" s="3">
        <v>0.27619047619047621</v>
      </c>
      <c r="D16" s="3">
        <v>48.057142857142857</v>
      </c>
      <c r="E16" s="3">
        <v>20664.571428571428</v>
      </c>
    </row>
    <row r="17" spans="1:5" ht="15.75" customHeight="1" x14ac:dyDescent="0.15">
      <c r="A17" s="3" t="s">
        <v>28</v>
      </c>
      <c r="B17" s="3" t="s">
        <v>14</v>
      </c>
      <c r="C17" s="3">
        <v>0.27619047619047621</v>
      </c>
      <c r="D17" s="3">
        <v>17.676190476190477</v>
      </c>
      <c r="E17" s="3">
        <v>7600.7619047619055</v>
      </c>
    </row>
    <row r="19" spans="1:5" ht="15.75" customHeight="1" x14ac:dyDescent="0.15">
      <c r="A19" s="1" t="s">
        <v>40</v>
      </c>
      <c r="B19" s="1"/>
      <c r="D19" s="3">
        <v>590.33650793650793</v>
      </c>
      <c r="E19" s="3">
        <v>253844.69841269837</v>
      </c>
    </row>
    <row r="20" spans="1:5" ht="15.75" customHeight="1" x14ac:dyDescent="0.15">
      <c r="A20" s="1"/>
      <c r="B20" s="1"/>
    </row>
    <row r="21" spans="1:5" ht="15.75" customHeight="1" x14ac:dyDescent="0.15">
      <c r="A21" s="13" t="s">
        <v>3</v>
      </c>
      <c r="B21" s="12"/>
    </row>
    <row r="22" spans="1:5" ht="15.75" customHeight="1" x14ac:dyDescent="0.15">
      <c r="A22" s="1" t="s">
        <v>6</v>
      </c>
      <c r="B22" s="1" t="s">
        <v>7</v>
      </c>
    </row>
    <row r="23" spans="1:5" ht="15.75" customHeight="1" x14ac:dyDescent="0.15">
      <c r="A23" s="3" t="s">
        <v>10</v>
      </c>
      <c r="B23" s="3">
        <v>430</v>
      </c>
    </row>
  </sheetData>
  <mergeCells count="1">
    <mergeCell ref="A21:B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23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8" t="s">
        <v>0</v>
      </c>
      <c r="B1" s="8" t="s">
        <v>1</v>
      </c>
      <c r="C1" s="8" t="s">
        <v>2</v>
      </c>
      <c r="D1" s="8" t="s">
        <v>43</v>
      </c>
      <c r="E1" s="8" t="s">
        <v>44</v>
      </c>
      <c r="F1" s="9"/>
      <c r="G1" s="8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15">
      <c r="A2" s="3" t="s">
        <v>4</v>
      </c>
      <c r="B2" s="9" t="s">
        <v>5</v>
      </c>
      <c r="C2" s="3">
        <v>1.3333333333333333</v>
      </c>
      <c r="D2" s="3">
        <v>37.333333333333329</v>
      </c>
      <c r="E2" s="3">
        <v>16053.333333333332</v>
      </c>
      <c r="G2" s="3" t="s">
        <v>5</v>
      </c>
      <c r="H2" s="3">
        <v>201239.99999999997</v>
      </c>
    </row>
    <row r="3" spans="1:26" ht="15.75" customHeight="1" x14ac:dyDescent="0.15">
      <c r="A3" s="3" t="s">
        <v>8</v>
      </c>
      <c r="B3" s="9" t="s">
        <v>9</v>
      </c>
      <c r="C3" s="3">
        <v>0.27619047619047621</v>
      </c>
      <c r="D3" s="3">
        <v>11.323809523809524</v>
      </c>
      <c r="E3" s="3">
        <v>4869.2380952380954</v>
      </c>
      <c r="G3" s="3" t="s">
        <v>24</v>
      </c>
      <c r="H3" s="3">
        <v>24080</v>
      </c>
    </row>
    <row r="4" spans="1:26" ht="15.75" customHeight="1" x14ac:dyDescent="0.15">
      <c r="A4" s="3" t="s">
        <v>11</v>
      </c>
      <c r="B4" s="9" t="s">
        <v>5</v>
      </c>
      <c r="C4" s="3">
        <v>1.3333333333333333</v>
      </c>
      <c r="D4" s="3">
        <v>101.33333333333333</v>
      </c>
      <c r="E4" s="3">
        <v>43573.333333333328</v>
      </c>
      <c r="G4" s="3" t="s">
        <v>9</v>
      </c>
      <c r="H4" s="3">
        <v>39191.42857142858</v>
      </c>
    </row>
    <row r="5" spans="1:26" ht="15.75" customHeight="1" x14ac:dyDescent="0.15">
      <c r="A5" s="3" t="s">
        <v>12</v>
      </c>
      <c r="B5" s="9" t="s">
        <v>5</v>
      </c>
      <c r="C5" s="3">
        <v>1.3333333333333333</v>
      </c>
      <c r="D5" s="3">
        <v>295.99999999999994</v>
      </c>
      <c r="E5" s="3">
        <v>127279.99999999997</v>
      </c>
      <c r="G5" s="3" t="s">
        <v>26</v>
      </c>
      <c r="H5" s="3">
        <v>98828.333333333314</v>
      </c>
    </row>
    <row r="6" spans="1:26" ht="15.75" customHeight="1" x14ac:dyDescent="0.15">
      <c r="A6" s="3" t="s">
        <v>13</v>
      </c>
      <c r="B6" s="9" t="s">
        <v>14</v>
      </c>
      <c r="C6" s="3">
        <v>0</v>
      </c>
      <c r="D6" s="3">
        <v>0</v>
      </c>
      <c r="E6" s="3">
        <v>0</v>
      </c>
      <c r="G6" s="3" t="s">
        <v>18</v>
      </c>
      <c r="H6" s="3">
        <v>1397.5</v>
      </c>
    </row>
    <row r="7" spans="1:26" ht="15.75" customHeight="1" x14ac:dyDescent="0.15">
      <c r="A7" s="3" t="s">
        <v>15</v>
      </c>
      <c r="B7" s="9" t="s">
        <v>14</v>
      </c>
      <c r="C7" s="3">
        <v>0</v>
      </c>
      <c r="D7" s="3">
        <v>0</v>
      </c>
      <c r="E7" s="3">
        <v>0</v>
      </c>
      <c r="G7" s="3" t="s">
        <v>19</v>
      </c>
      <c r="H7" s="3">
        <v>7298.0555555555557</v>
      </c>
    </row>
    <row r="8" spans="1:26" ht="15.75" customHeight="1" x14ac:dyDescent="0.15">
      <c r="A8" s="3" t="s">
        <v>16</v>
      </c>
      <c r="B8" s="9" t="s">
        <v>5</v>
      </c>
      <c r="C8" s="3">
        <v>1.3333333333333333</v>
      </c>
      <c r="D8" s="3">
        <v>33.333333333333329</v>
      </c>
      <c r="E8" s="3">
        <v>14333.333333333332</v>
      </c>
      <c r="G8" s="3" t="s">
        <v>20</v>
      </c>
      <c r="H8" s="3">
        <v>430</v>
      </c>
    </row>
    <row r="9" spans="1:26" ht="15.75" customHeight="1" x14ac:dyDescent="0.15">
      <c r="A9" s="3" t="s">
        <v>17</v>
      </c>
      <c r="B9" s="9" t="s">
        <v>18</v>
      </c>
      <c r="C9" s="3">
        <v>3.25</v>
      </c>
      <c r="D9" s="3">
        <v>3.25</v>
      </c>
      <c r="E9" s="3">
        <v>1397.5</v>
      </c>
      <c r="G9" s="3" t="s">
        <v>21</v>
      </c>
      <c r="H9" s="3">
        <v>4299.9999999999991</v>
      </c>
    </row>
    <row r="10" spans="1:26" ht="15.75" customHeight="1" x14ac:dyDescent="0.15">
      <c r="A10" s="3" t="s">
        <v>17</v>
      </c>
      <c r="B10" s="9" t="s">
        <v>19</v>
      </c>
      <c r="C10" s="3">
        <v>0.3611111111111111</v>
      </c>
      <c r="D10" s="3">
        <v>16.972222222222221</v>
      </c>
      <c r="E10" s="3">
        <v>7298.0555555555557</v>
      </c>
      <c r="G10" s="3" t="s">
        <v>22</v>
      </c>
      <c r="H10" s="3">
        <v>1146.6666666666665</v>
      </c>
    </row>
    <row r="11" spans="1:26" ht="15.75" customHeight="1" x14ac:dyDescent="0.15">
      <c r="A11" s="3" t="s">
        <v>17</v>
      </c>
      <c r="B11" s="9" t="s">
        <v>20</v>
      </c>
      <c r="C11" s="3">
        <v>0.33333333333333331</v>
      </c>
      <c r="D11" s="3">
        <v>1</v>
      </c>
      <c r="E11" s="3">
        <v>430</v>
      </c>
      <c r="G11" s="3" t="s">
        <v>31</v>
      </c>
      <c r="H11" s="3">
        <v>17101.714285714286</v>
      </c>
    </row>
    <row r="12" spans="1:26" ht="15.75" customHeight="1" x14ac:dyDescent="0.15">
      <c r="A12" s="3" t="s">
        <v>17</v>
      </c>
      <c r="B12" s="9" t="s">
        <v>21</v>
      </c>
      <c r="C12" s="3">
        <v>0.33333333333333331</v>
      </c>
      <c r="D12" s="3">
        <v>9.9999999999999982</v>
      </c>
      <c r="E12" s="3">
        <v>4299.9999999999991</v>
      </c>
    </row>
    <row r="13" spans="1:26" ht="15.75" customHeight="1" x14ac:dyDescent="0.15">
      <c r="A13" s="3" t="s">
        <v>17</v>
      </c>
      <c r="B13" s="9" t="s">
        <v>22</v>
      </c>
      <c r="C13" s="3">
        <v>0.33333333333333331</v>
      </c>
      <c r="D13" s="3">
        <v>2.6666666666666665</v>
      </c>
      <c r="E13" s="3">
        <v>1146.6666666666665</v>
      </c>
    </row>
    <row r="14" spans="1:26" ht="15.75" customHeight="1" x14ac:dyDescent="0.15">
      <c r="A14" s="3" t="s">
        <v>23</v>
      </c>
      <c r="B14" s="9" t="s">
        <v>24</v>
      </c>
      <c r="C14" s="3">
        <v>2</v>
      </c>
      <c r="D14" s="3">
        <v>56</v>
      </c>
      <c r="E14" s="3">
        <v>24080</v>
      </c>
      <c r="H14" s="3">
        <v>395013.69841269834</v>
      </c>
    </row>
    <row r="15" spans="1:26" ht="15.75" customHeight="1" x14ac:dyDescent="0.15">
      <c r="A15" s="3" t="s">
        <v>25</v>
      </c>
      <c r="B15" s="9" t="s">
        <v>26</v>
      </c>
      <c r="C15" s="3">
        <v>1.0944444444444443</v>
      </c>
      <c r="D15" s="3">
        <v>229.83333333333329</v>
      </c>
      <c r="E15" s="3">
        <v>98828.333333333314</v>
      </c>
    </row>
    <row r="16" spans="1:26" ht="15.75" customHeight="1" x14ac:dyDescent="0.15">
      <c r="A16" s="3" t="s">
        <v>27</v>
      </c>
      <c r="B16" s="9" t="s">
        <v>9</v>
      </c>
      <c r="C16" s="3">
        <v>0.27619047619047621</v>
      </c>
      <c r="D16" s="3">
        <v>79.819047619047623</v>
      </c>
      <c r="E16" s="3">
        <v>34322.190476190481</v>
      </c>
    </row>
    <row r="17" spans="1:5" ht="15.75" customHeight="1" x14ac:dyDescent="0.15">
      <c r="A17" s="3" t="s">
        <v>28</v>
      </c>
      <c r="B17" s="9" t="s">
        <v>14</v>
      </c>
      <c r="C17" s="3">
        <v>0.27619047619047621</v>
      </c>
      <c r="D17" s="3">
        <v>39.771428571428572</v>
      </c>
      <c r="E17" s="3">
        <v>17101.714285714286</v>
      </c>
    </row>
    <row r="18" spans="1:5" ht="15.75" customHeight="1" x14ac:dyDescent="0.15">
      <c r="B18" s="9"/>
    </row>
    <row r="19" spans="1:5" ht="15.75" customHeight="1" x14ac:dyDescent="0.15">
      <c r="A19" s="8" t="s">
        <v>40</v>
      </c>
      <c r="B19" s="9"/>
      <c r="D19" s="3">
        <v>918.63650793650777</v>
      </c>
      <c r="E19" s="3">
        <v>395013.69841269834</v>
      </c>
    </row>
    <row r="20" spans="1:5" ht="15.75" customHeight="1" x14ac:dyDescent="0.15">
      <c r="A20" s="9"/>
      <c r="B20" s="9"/>
    </row>
    <row r="21" spans="1:5" ht="15.75" customHeight="1" x14ac:dyDescent="0.15">
      <c r="A21" s="14" t="s">
        <v>3</v>
      </c>
      <c r="B21" s="12"/>
    </row>
    <row r="22" spans="1:5" ht="15.75" customHeight="1" x14ac:dyDescent="0.15">
      <c r="A22" s="8" t="s">
        <v>6</v>
      </c>
      <c r="B22" s="8" t="s">
        <v>7</v>
      </c>
    </row>
    <row r="23" spans="1:5" ht="15.75" customHeight="1" x14ac:dyDescent="0.15">
      <c r="A23" s="9" t="s">
        <v>10</v>
      </c>
      <c r="B23" s="10">
        <v>430</v>
      </c>
    </row>
  </sheetData>
  <mergeCells count="1">
    <mergeCell ref="A21:B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23"/>
  <sheetViews>
    <sheetView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8" t="s">
        <v>0</v>
      </c>
      <c r="B1" s="8" t="s">
        <v>1</v>
      </c>
      <c r="C1" s="8" t="s">
        <v>2</v>
      </c>
      <c r="D1" s="8" t="s">
        <v>43</v>
      </c>
      <c r="E1" s="8" t="s">
        <v>44</v>
      </c>
      <c r="F1" s="9"/>
      <c r="G1" s="8" t="s">
        <v>40</v>
      </c>
      <c r="H1" s="9"/>
    </row>
    <row r="2" spans="1:8" ht="15.75" customHeight="1" x14ac:dyDescent="0.15">
      <c r="A2" s="3" t="s">
        <v>4</v>
      </c>
      <c r="B2" s="9" t="s">
        <v>5</v>
      </c>
      <c r="C2" s="3">
        <v>1.3333333333333333</v>
      </c>
      <c r="D2" s="3">
        <v>37.333333333333329</v>
      </c>
      <c r="E2" s="3">
        <v>16053.333333333332</v>
      </c>
      <c r="G2" s="3" t="s">
        <v>5</v>
      </c>
      <c r="H2" s="3">
        <v>200666.66666666666</v>
      </c>
    </row>
    <row r="3" spans="1:8" ht="15.75" customHeight="1" x14ac:dyDescent="0.15">
      <c r="A3" s="3" t="s">
        <v>8</v>
      </c>
      <c r="B3" s="9" t="s">
        <v>9</v>
      </c>
      <c r="C3" s="3">
        <v>0.27619047619047621</v>
      </c>
      <c r="D3" s="3">
        <v>11.323809523809524</v>
      </c>
      <c r="E3" s="3">
        <v>4869.2380952380954</v>
      </c>
      <c r="G3" s="3" t="s">
        <v>24</v>
      </c>
      <c r="H3" s="3">
        <v>24080</v>
      </c>
    </row>
    <row r="4" spans="1:8" ht="15.75" customHeight="1" x14ac:dyDescent="0.15">
      <c r="A4" s="3" t="s">
        <v>11</v>
      </c>
      <c r="B4" s="9" t="s">
        <v>5</v>
      </c>
      <c r="C4" s="3">
        <v>1.3333333333333333</v>
      </c>
      <c r="D4" s="3">
        <v>100</v>
      </c>
      <c r="E4" s="3">
        <v>43000</v>
      </c>
      <c r="G4" s="3" t="s">
        <v>9</v>
      </c>
      <c r="H4" s="3">
        <v>39191.42857142858</v>
      </c>
    </row>
    <row r="5" spans="1:8" ht="15.75" customHeight="1" x14ac:dyDescent="0.15">
      <c r="A5" s="3" t="s">
        <v>12</v>
      </c>
      <c r="B5" s="9" t="s">
        <v>5</v>
      </c>
      <c r="C5" s="3">
        <v>1.3333333333333333</v>
      </c>
      <c r="D5" s="3">
        <v>295.99999999999994</v>
      </c>
      <c r="E5" s="3">
        <v>127279.99999999997</v>
      </c>
      <c r="G5" s="3" t="s">
        <v>26</v>
      </c>
      <c r="H5" s="3">
        <v>98828.333333333314</v>
      </c>
    </row>
    <row r="6" spans="1:8" ht="15.75" customHeight="1" x14ac:dyDescent="0.15">
      <c r="A6" s="3" t="s">
        <v>13</v>
      </c>
      <c r="B6" s="9" t="s">
        <v>14</v>
      </c>
      <c r="C6" s="3">
        <v>0</v>
      </c>
      <c r="D6" s="3">
        <v>0</v>
      </c>
      <c r="E6" s="3">
        <v>0</v>
      </c>
      <c r="G6" s="3" t="s">
        <v>18</v>
      </c>
      <c r="H6" s="3">
        <v>1397.5</v>
      </c>
    </row>
    <row r="7" spans="1:8" ht="15.75" customHeight="1" x14ac:dyDescent="0.15">
      <c r="A7" s="3" t="s">
        <v>15</v>
      </c>
      <c r="B7" s="9" t="s">
        <v>14</v>
      </c>
      <c r="C7" s="3">
        <v>0</v>
      </c>
      <c r="D7" s="3">
        <v>0</v>
      </c>
      <c r="E7" s="3">
        <v>0</v>
      </c>
      <c r="G7" s="3" t="s">
        <v>19</v>
      </c>
      <c r="H7" s="3">
        <v>7298.0555555555557</v>
      </c>
    </row>
    <row r="8" spans="1:8" ht="15.75" customHeight="1" x14ac:dyDescent="0.15">
      <c r="A8" s="3" t="s">
        <v>16</v>
      </c>
      <c r="B8" s="9" t="s">
        <v>5</v>
      </c>
      <c r="C8" s="3">
        <v>1.3333333333333333</v>
      </c>
      <c r="D8" s="3">
        <v>33.333333333333329</v>
      </c>
      <c r="E8" s="3">
        <v>14333.333333333332</v>
      </c>
      <c r="G8" s="3" t="s">
        <v>20</v>
      </c>
      <c r="H8" s="3">
        <v>430</v>
      </c>
    </row>
    <row r="9" spans="1:8" ht="15.75" customHeight="1" x14ac:dyDescent="0.15">
      <c r="A9" s="3" t="s">
        <v>17</v>
      </c>
      <c r="B9" s="9" t="s">
        <v>18</v>
      </c>
      <c r="C9" s="3">
        <v>3.25</v>
      </c>
      <c r="D9" s="3">
        <v>3.25</v>
      </c>
      <c r="E9" s="3">
        <v>1397.5</v>
      </c>
      <c r="G9" s="3" t="s">
        <v>21</v>
      </c>
      <c r="H9" s="3">
        <v>4299.9999999999991</v>
      </c>
    </row>
    <row r="10" spans="1:8" ht="15.75" customHeight="1" x14ac:dyDescent="0.15">
      <c r="A10" s="3" t="s">
        <v>17</v>
      </c>
      <c r="B10" s="9" t="s">
        <v>19</v>
      </c>
      <c r="C10" s="3">
        <v>0.3611111111111111</v>
      </c>
      <c r="D10" s="3">
        <v>16.972222222222221</v>
      </c>
      <c r="E10" s="3">
        <v>7298.0555555555557</v>
      </c>
      <c r="G10" s="3" t="s">
        <v>22</v>
      </c>
      <c r="H10" s="3">
        <v>1146.6666666666665</v>
      </c>
    </row>
    <row r="11" spans="1:8" ht="15.75" customHeight="1" x14ac:dyDescent="0.15">
      <c r="A11" s="3" t="s">
        <v>17</v>
      </c>
      <c r="B11" s="9" t="s">
        <v>20</v>
      </c>
      <c r="C11" s="3">
        <v>0.33333333333333331</v>
      </c>
      <c r="D11" s="3">
        <v>1</v>
      </c>
      <c r="E11" s="3">
        <v>430</v>
      </c>
      <c r="G11" s="3" t="s">
        <v>31</v>
      </c>
      <c r="H11" s="3">
        <v>17101.714285714286</v>
      </c>
    </row>
    <row r="12" spans="1:8" ht="15.75" customHeight="1" x14ac:dyDescent="0.15">
      <c r="A12" s="3" t="s">
        <v>17</v>
      </c>
      <c r="B12" s="9" t="s">
        <v>21</v>
      </c>
      <c r="C12" s="3">
        <v>0.33333333333333331</v>
      </c>
      <c r="D12" s="3">
        <v>9.9999999999999982</v>
      </c>
      <c r="E12" s="3">
        <v>4299.9999999999991</v>
      </c>
    </row>
    <row r="13" spans="1:8" ht="15.75" customHeight="1" x14ac:dyDescent="0.15">
      <c r="A13" s="3" t="s">
        <v>17</v>
      </c>
      <c r="B13" s="9" t="s">
        <v>22</v>
      </c>
      <c r="C13" s="3">
        <v>0.33333333333333331</v>
      </c>
      <c r="D13" s="3">
        <v>2.6666666666666665</v>
      </c>
      <c r="E13" s="3">
        <v>1146.6666666666665</v>
      </c>
    </row>
    <row r="14" spans="1:8" ht="15.75" customHeight="1" x14ac:dyDescent="0.15">
      <c r="A14" s="3" t="s">
        <v>23</v>
      </c>
      <c r="B14" s="9" t="s">
        <v>24</v>
      </c>
      <c r="C14" s="3">
        <v>2</v>
      </c>
      <c r="D14" s="3">
        <v>56</v>
      </c>
      <c r="E14" s="3">
        <v>24080</v>
      </c>
      <c r="H14" s="3">
        <v>394440.36507936509</v>
      </c>
    </row>
    <row r="15" spans="1:8" ht="15.75" customHeight="1" x14ac:dyDescent="0.15">
      <c r="A15" s="3" t="s">
        <v>25</v>
      </c>
      <c r="B15" s="9" t="s">
        <v>26</v>
      </c>
      <c r="C15" s="3">
        <v>1.0944444444444443</v>
      </c>
      <c r="D15" s="3">
        <v>229.83333333333329</v>
      </c>
      <c r="E15" s="3">
        <v>98828.333333333314</v>
      </c>
    </row>
    <row r="16" spans="1:8" ht="15.75" customHeight="1" x14ac:dyDescent="0.15">
      <c r="A16" s="3" t="s">
        <v>27</v>
      </c>
      <c r="B16" s="9" t="s">
        <v>9</v>
      </c>
      <c r="C16" s="3">
        <v>0.27619047619047621</v>
      </c>
      <c r="D16" s="3">
        <v>79.819047619047623</v>
      </c>
      <c r="E16" s="3">
        <v>34322.190476190481</v>
      </c>
    </row>
    <row r="17" spans="1:5" ht="15.75" customHeight="1" x14ac:dyDescent="0.15">
      <c r="A17" s="3" t="s">
        <v>28</v>
      </c>
      <c r="B17" s="9" t="s">
        <v>14</v>
      </c>
      <c r="C17" s="3">
        <v>0.27619047619047621</v>
      </c>
      <c r="D17" s="3">
        <v>39.771428571428572</v>
      </c>
      <c r="E17" s="3">
        <v>17101.714285714286</v>
      </c>
    </row>
    <row r="18" spans="1:5" ht="15.75" customHeight="1" x14ac:dyDescent="0.15">
      <c r="B18" s="9"/>
    </row>
    <row r="19" spans="1:5" ht="15.75" customHeight="1" x14ac:dyDescent="0.15">
      <c r="A19" s="8" t="s">
        <v>40</v>
      </c>
      <c r="B19" s="9"/>
      <c r="D19" s="3">
        <v>917.30317460317451</v>
      </c>
      <c r="E19" s="3">
        <v>394440.36507936497</v>
      </c>
    </row>
    <row r="20" spans="1:5" ht="15.75" customHeight="1" x14ac:dyDescent="0.15">
      <c r="A20" s="9"/>
      <c r="B20" s="9"/>
    </row>
    <row r="21" spans="1:5" ht="15.75" customHeight="1" x14ac:dyDescent="0.15">
      <c r="A21" s="14" t="s">
        <v>3</v>
      </c>
      <c r="B21" s="12"/>
    </row>
    <row r="22" spans="1:5" ht="15.75" customHeight="1" x14ac:dyDescent="0.15">
      <c r="A22" s="8" t="s">
        <v>6</v>
      </c>
      <c r="B22" s="8" t="s">
        <v>7</v>
      </c>
    </row>
    <row r="23" spans="1:5" ht="15.75" customHeight="1" x14ac:dyDescent="0.15">
      <c r="A23" s="9" t="s">
        <v>10</v>
      </c>
      <c r="B23" s="10">
        <v>430</v>
      </c>
    </row>
  </sheetData>
  <mergeCells count="1"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21"/>
  <sheetViews>
    <sheetView workbookViewId="0"/>
  </sheetViews>
  <sheetFormatPr baseColWidth="10" defaultColWidth="12.6640625" defaultRowHeight="15.75" customHeight="1" x14ac:dyDescent="0.15"/>
  <sheetData>
    <row r="1" spans="1:11" ht="15.75" customHeight="1" x14ac:dyDescent="0.15">
      <c r="A1" s="14" t="s">
        <v>45</v>
      </c>
      <c r="B1" s="12"/>
      <c r="C1" s="12"/>
      <c r="D1" s="12"/>
      <c r="E1" s="12"/>
      <c r="F1" s="9"/>
      <c r="G1" s="14" t="s">
        <v>46</v>
      </c>
      <c r="H1" s="12"/>
      <c r="I1" s="12"/>
      <c r="J1" s="12"/>
      <c r="K1" s="12"/>
    </row>
    <row r="2" spans="1:11" ht="15.75" customHeight="1" x14ac:dyDescent="0.15">
      <c r="A2" s="8" t="s">
        <v>0</v>
      </c>
      <c r="B2" s="8" t="s">
        <v>1</v>
      </c>
      <c r="C2" s="8" t="s">
        <v>2</v>
      </c>
      <c r="D2" s="8" t="s">
        <v>43</v>
      </c>
      <c r="E2" s="8" t="s">
        <v>44</v>
      </c>
      <c r="F2" s="9"/>
      <c r="G2" s="8" t="s">
        <v>0</v>
      </c>
      <c r="H2" s="8" t="s">
        <v>1</v>
      </c>
      <c r="I2" s="8" t="s">
        <v>2</v>
      </c>
      <c r="J2" s="8" t="s">
        <v>43</v>
      </c>
      <c r="K2" s="8" t="s">
        <v>44</v>
      </c>
    </row>
    <row r="3" spans="1:11" ht="15.75" customHeight="1" x14ac:dyDescent="0.15">
      <c r="A3" s="9" t="s">
        <v>4</v>
      </c>
      <c r="B3" s="9" t="s">
        <v>5</v>
      </c>
      <c r="C3" s="10">
        <v>1.3333333333333333</v>
      </c>
      <c r="D3" s="10">
        <v>22.666666666666668</v>
      </c>
      <c r="E3" s="10">
        <v>9746.6666666666679</v>
      </c>
      <c r="F3" s="9"/>
      <c r="G3" s="9" t="s">
        <v>4</v>
      </c>
      <c r="H3" s="9" t="s">
        <v>5</v>
      </c>
      <c r="I3" s="10">
        <v>1.3333333333333333</v>
      </c>
      <c r="J3" s="10">
        <v>22.666666666666668</v>
      </c>
      <c r="K3" s="10">
        <v>9746.6666666666679</v>
      </c>
    </row>
    <row r="4" spans="1:11" ht="15.75" customHeight="1" x14ac:dyDescent="0.15">
      <c r="A4" s="9" t="s">
        <v>8</v>
      </c>
      <c r="B4" s="9" t="s">
        <v>9</v>
      </c>
      <c r="C4" s="10">
        <v>0.27619047619047621</v>
      </c>
      <c r="D4" s="10">
        <v>9.1142857142857139</v>
      </c>
      <c r="E4" s="10">
        <v>3919.1428571428569</v>
      </c>
      <c r="F4" s="9"/>
      <c r="G4" s="9" t="s">
        <v>8</v>
      </c>
      <c r="H4" s="9" t="s">
        <v>9</v>
      </c>
      <c r="I4" s="10">
        <v>0.27619047619047621</v>
      </c>
      <c r="J4" s="10">
        <v>9.1142857142857139</v>
      </c>
      <c r="K4" s="10">
        <v>3919.1428571428569</v>
      </c>
    </row>
    <row r="5" spans="1:11" ht="15.75" customHeight="1" x14ac:dyDescent="0.15">
      <c r="A5" s="9" t="s">
        <v>11</v>
      </c>
      <c r="B5" s="9" t="s">
        <v>5</v>
      </c>
      <c r="C5" s="10">
        <v>1.3333333333333333</v>
      </c>
      <c r="D5" s="10">
        <v>76</v>
      </c>
      <c r="E5" s="10">
        <v>32680</v>
      </c>
      <c r="F5" s="9"/>
      <c r="G5" s="9" t="s">
        <v>11</v>
      </c>
      <c r="H5" s="9" t="s">
        <v>5</v>
      </c>
      <c r="I5" s="10">
        <v>1.3333333333333333</v>
      </c>
      <c r="J5" s="10">
        <v>76</v>
      </c>
      <c r="K5" s="10">
        <v>32680</v>
      </c>
    </row>
    <row r="6" spans="1:11" ht="15.75" customHeight="1" x14ac:dyDescent="0.15">
      <c r="A6" s="9" t="s">
        <v>12</v>
      </c>
      <c r="B6" s="9" t="s">
        <v>5</v>
      </c>
      <c r="C6" s="10">
        <v>1.3333333333333333</v>
      </c>
      <c r="D6" s="10">
        <v>192</v>
      </c>
      <c r="E6" s="10">
        <v>82560</v>
      </c>
      <c r="F6" s="9"/>
      <c r="G6" s="9" t="s">
        <v>12</v>
      </c>
      <c r="H6" s="9" t="s">
        <v>5</v>
      </c>
      <c r="I6" s="10">
        <v>1.3333333333333333</v>
      </c>
      <c r="J6" s="10">
        <v>192</v>
      </c>
      <c r="K6" s="10">
        <v>82560</v>
      </c>
    </row>
    <row r="7" spans="1:11" ht="15.75" customHeight="1" x14ac:dyDescent="0.15">
      <c r="A7" s="9" t="s">
        <v>13</v>
      </c>
      <c r="B7" s="9" t="s">
        <v>14</v>
      </c>
      <c r="C7" s="10">
        <v>0</v>
      </c>
      <c r="D7" s="10">
        <v>0</v>
      </c>
      <c r="E7" s="10">
        <v>0</v>
      </c>
      <c r="F7" s="9"/>
      <c r="G7" s="9" t="s">
        <v>13</v>
      </c>
      <c r="H7" s="9" t="s">
        <v>14</v>
      </c>
      <c r="I7" s="10">
        <v>0</v>
      </c>
      <c r="J7" s="10">
        <v>0</v>
      </c>
      <c r="K7" s="10">
        <v>0</v>
      </c>
    </row>
    <row r="8" spans="1:11" ht="15.75" customHeight="1" x14ac:dyDescent="0.15">
      <c r="A8" s="9" t="s">
        <v>15</v>
      </c>
      <c r="B8" s="9" t="s">
        <v>14</v>
      </c>
      <c r="C8" s="10">
        <v>0</v>
      </c>
      <c r="D8" s="10">
        <v>0</v>
      </c>
      <c r="E8" s="10">
        <v>0</v>
      </c>
      <c r="F8" s="9"/>
      <c r="G8" s="9" t="s">
        <v>15</v>
      </c>
      <c r="H8" s="9" t="s">
        <v>14</v>
      </c>
      <c r="I8" s="10">
        <v>0</v>
      </c>
      <c r="J8" s="10">
        <v>0</v>
      </c>
      <c r="K8" s="10">
        <v>0</v>
      </c>
    </row>
    <row r="9" spans="1:11" ht="15.75" customHeight="1" x14ac:dyDescent="0.15">
      <c r="A9" s="9" t="s">
        <v>16</v>
      </c>
      <c r="B9" s="9" t="s">
        <v>5</v>
      </c>
      <c r="C9" s="10">
        <v>1.3333333333333333</v>
      </c>
      <c r="D9" s="10">
        <v>32</v>
      </c>
      <c r="E9" s="10">
        <v>13760</v>
      </c>
      <c r="F9" s="9"/>
      <c r="G9" s="9" t="s">
        <v>16</v>
      </c>
      <c r="H9" s="9" t="s">
        <v>5</v>
      </c>
      <c r="I9" s="10">
        <v>1.3333333333333333</v>
      </c>
      <c r="J9" s="10">
        <v>32</v>
      </c>
      <c r="K9" s="10">
        <v>13760</v>
      </c>
    </row>
    <row r="10" spans="1:11" ht="15.75" customHeight="1" x14ac:dyDescent="0.15">
      <c r="A10" s="9" t="s">
        <v>17</v>
      </c>
      <c r="B10" s="9" t="s">
        <v>18</v>
      </c>
      <c r="C10" s="10">
        <v>3.25</v>
      </c>
      <c r="D10" s="10">
        <v>32.5</v>
      </c>
      <c r="E10" s="10">
        <v>13975</v>
      </c>
      <c r="F10" s="9"/>
      <c r="G10" s="9" t="s">
        <v>17</v>
      </c>
      <c r="H10" s="9" t="s">
        <v>18</v>
      </c>
      <c r="I10" s="10">
        <v>3.25</v>
      </c>
      <c r="J10" s="10">
        <v>32.5</v>
      </c>
      <c r="K10" s="10">
        <v>13975</v>
      </c>
    </row>
    <row r="11" spans="1:11" ht="15.75" customHeight="1" x14ac:dyDescent="0.15">
      <c r="A11" s="9" t="s">
        <v>17</v>
      </c>
      <c r="B11" s="9" t="s">
        <v>19</v>
      </c>
      <c r="C11" s="10">
        <v>0.3611111111111111</v>
      </c>
      <c r="D11" s="10">
        <v>13</v>
      </c>
      <c r="E11" s="10">
        <v>5590</v>
      </c>
      <c r="F11" s="9"/>
      <c r="G11" s="9" t="s">
        <v>17</v>
      </c>
      <c r="H11" s="9" t="s">
        <v>19</v>
      </c>
      <c r="I11" s="10">
        <v>0.3611111111111111</v>
      </c>
      <c r="J11" s="10">
        <v>13</v>
      </c>
      <c r="K11" s="10">
        <v>5590</v>
      </c>
    </row>
    <row r="12" spans="1:11" ht="15.75" customHeight="1" x14ac:dyDescent="0.15">
      <c r="A12" s="9" t="s">
        <v>17</v>
      </c>
      <c r="B12" s="9" t="s">
        <v>20</v>
      </c>
      <c r="C12" s="10">
        <v>0.33333333333333331</v>
      </c>
      <c r="D12" s="10">
        <v>0.33333333333333331</v>
      </c>
      <c r="E12" s="10">
        <v>143.33333333333331</v>
      </c>
      <c r="F12" s="9"/>
      <c r="G12" s="9" t="s">
        <v>17</v>
      </c>
      <c r="H12" s="9" t="s">
        <v>20</v>
      </c>
      <c r="I12" s="10">
        <v>0.33333333333333331</v>
      </c>
      <c r="J12" s="10">
        <v>0.33333333333333331</v>
      </c>
      <c r="K12" s="10">
        <v>143.33333333333331</v>
      </c>
    </row>
    <row r="13" spans="1:11" ht="15.75" customHeight="1" x14ac:dyDescent="0.15">
      <c r="A13" s="9" t="s">
        <v>17</v>
      </c>
      <c r="B13" s="9" t="s">
        <v>21</v>
      </c>
      <c r="C13" s="10">
        <v>0.33333333333333331</v>
      </c>
      <c r="D13" s="10">
        <v>9.6666666666666661</v>
      </c>
      <c r="E13" s="10">
        <v>4156.6666666666661</v>
      </c>
      <c r="F13" s="9"/>
      <c r="G13" s="9" t="s">
        <v>17</v>
      </c>
      <c r="H13" s="9" t="s">
        <v>21</v>
      </c>
      <c r="I13" s="10">
        <v>0.33333333333333331</v>
      </c>
      <c r="J13" s="10">
        <v>9.6666666666666661</v>
      </c>
      <c r="K13" s="10">
        <v>4156.6666666666661</v>
      </c>
    </row>
    <row r="14" spans="1:11" ht="15.75" customHeight="1" x14ac:dyDescent="0.15">
      <c r="A14" s="9" t="s">
        <v>17</v>
      </c>
      <c r="B14" s="9" t="s">
        <v>22</v>
      </c>
      <c r="C14" s="10">
        <v>0.33333333333333331</v>
      </c>
      <c r="D14" s="10">
        <v>1.3333333333333333</v>
      </c>
      <c r="E14" s="10">
        <v>573.33333333333326</v>
      </c>
      <c r="F14" s="9"/>
      <c r="G14" s="9" t="s">
        <v>17</v>
      </c>
      <c r="H14" s="9" t="s">
        <v>22</v>
      </c>
      <c r="I14" s="10">
        <v>0.33333333333333331</v>
      </c>
      <c r="J14" s="10">
        <v>1.3333333333333333</v>
      </c>
      <c r="K14" s="10">
        <v>573.33333333333326</v>
      </c>
    </row>
    <row r="15" spans="1:11" ht="15.75" customHeight="1" x14ac:dyDescent="0.15">
      <c r="A15" s="9" t="s">
        <v>23</v>
      </c>
      <c r="B15" s="9" t="s">
        <v>24</v>
      </c>
      <c r="C15" s="10">
        <v>2</v>
      </c>
      <c r="D15" s="10">
        <v>52</v>
      </c>
      <c r="E15" s="10">
        <v>22360</v>
      </c>
      <c r="F15" s="9"/>
      <c r="G15" s="9" t="s">
        <v>23</v>
      </c>
      <c r="H15" s="9" t="s">
        <v>24</v>
      </c>
      <c r="I15" s="10">
        <v>2</v>
      </c>
      <c r="J15" s="10">
        <v>52</v>
      </c>
      <c r="K15" s="10">
        <v>22360</v>
      </c>
    </row>
    <row r="16" spans="1:11" ht="15.75" customHeight="1" x14ac:dyDescent="0.15">
      <c r="A16" s="9" t="s">
        <v>25</v>
      </c>
      <c r="B16" s="9" t="s">
        <v>26</v>
      </c>
      <c r="C16" s="10">
        <v>1.0944444444444443</v>
      </c>
      <c r="D16" s="10">
        <v>328.33333333333331</v>
      </c>
      <c r="E16" s="10">
        <v>141183.33333333331</v>
      </c>
      <c r="F16" s="9"/>
      <c r="G16" s="9" t="s">
        <v>25</v>
      </c>
      <c r="H16" s="9" t="s">
        <v>26</v>
      </c>
      <c r="I16" s="10">
        <v>1.0944444444444443</v>
      </c>
      <c r="J16" s="10">
        <v>328.33333333333331</v>
      </c>
      <c r="K16" s="10">
        <v>141183.33333333331</v>
      </c>
    </row>
    <row r="17" spans="1:11" ht="15.75" customHeight="1" x14ac:dyDescent="0.15">
      <c r="A17" s="9" t="s">
        <v>27</v>
      </c>
      <c r="B17" s="9" t="s">
        <v>9</v>
      </c>
      <c r="C17" s="10">
        <v>0.27619047619047621</v>
      </c>
      <c r="D17" s="10">
        <v>65.457142857142856</v>
      </c>
      <c r="E17" s="10">
        <v>28146.571428571428</v>
      </c>
      <c r="F17" s="9"/>
      <c r="G17" s="9" t="s">
        <v>27</v>
      </c>
      <c r="H17" s="9" t="s">
        <v>9</v>
      </c>
      <c r="I17" s="10">
        <v>0.27619047619047621</v>
      </c>
      <c r="J17" s="10">
        <v>65.457142857142856</v>
      </c>
      <c r="K17" s="10">
        <v>28146.571428571428</v>
      </c>
    </row>
    <row r="18" spans="1:11" ht="15.75" customHeight="1" x14ac:dyDescent="0.15">
      <c r="A18" s="9" t="s">
        <v>28</v>
      </c>
      <c r="B18" s="9" t="s">
        <v>14</v>
      </c>
      <c r="C18" s="10">
        <v>0.27619047619047621</v>
      </c>
      <c r="D18" s="10">
        <v>33.971428571428575</v>
      </c>
      <c r="E18" s="10">
        <v>14607.714285714288</v>
      </c>
      <c r="F18" s="9"/>
      <c r="G18" s="9" t="s">
        <v>28</v>
      </c>
      <c r="H18" s="9" t="s">
        <v>14</v>
      </c>
      <c r="I18" s="10">
        <v>0.27619047619047621</v>
      </c>
      <c r="J18" s="10">
        <v>33.971428571428575</v>
      </c>
      <c r="K18" s="10">
        <v>14607.714285714288</v>
      </c>
    </row>
    <row r="19" spans="1:11" ht="15.75" customHeight="1" x14ac:dyDescent="0.15">
      <c r="A19" s="9" t="s">
        <v>47</v>
      </c>
      <c r="B19" s="9" t="s">
        <v>47</v>
      </c>
      <c r="C19" s="10">
        <f>C6*64</f>
        <v>85.333333333333329</v>
      </c>
      <c r="D19" s="10">
        <v>341.33333333333331</v>
      </c>
      <c r="E19" s="10">
        <v>146773.33333333331</v>
      </c>
      <c r="F19" s="9"/>
      <c r="G19" s="9" t="s">
        <v>47</v>
      </c>
      <c r="H19" s="9" t="s">
        <v>48</v>
      </c>
      <c r="I19" s="10">
        <f>C3*64*0.4</f>
        <v>34.133333333333333</v>
      </c>
      <c r="J19" s="10">
        <v>136.53333333333333</v>
      </c>
      <c r="K19" s="10">
        <v>58709.333333333336</v>
      </c>
    </row>
    <row r="20" spans="1:11" ht="15.75" customHeight="1" x14ac:dyDescent="0.15">
      <c r="C20" s="10"/>
    </row>
    <row r="21" spans="1:11" ht="15.75" customHeight="1" x14ac:dyDescent="0.15">
      <c r="A21" s="1" t="s">
        <v>40</v>
      </c>
      <c r="D21" s="3">
        <v>1209.7095238095237</v>
      </c>
      <c r="E21" s="3">
        <v>520175.09523809521</v>
      </c>
      <c r="G21" s="1" t="s">
        <v>40</v>
      </c>
      <c r="J21" s="3">
        <v>1004.9095238095238</v>
      </c>
      <c r="K21" s="3">
        <v>432111.09523809521</v>
      </c>
    </row>
  </sheetData>
  <mergeCells count="2">
    <mergeCell ref="A1:E1"/>
    <mergeCell ref="G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21"/>
  <sheetViews>
    <sheetView tabSelected="1" workbookViewId="0"/>
  </sheetViews>
  <sheetFormatPr baseColWidth="10" defaultColWidth="12.6640625" defaultRowHeight="15.75" customHeight="1" x14ac:dyDescent="0.15"/>
  <sheetData>
    <row r="1" spans="1:8" ht="15.75" customHeight="1" x14ac:dyDescent="0.15">
      <c r="A1" s="8" t="s">
        <v>0</v>
      </c>
      <c r="B1" s="8" t="s">
        <v>1</v>
      </c>
      <c r="C1" s="8" t="s">
        <v>2</v>
      </c>
      <c r="D1" s="8" t="s">
        <v>43</v>
      </c>
      <c r="E1" s="8" t="s">
        <v>44</v>
      </c>
      <c r="G1" s="3" t="s">
        <v>40</v>
      </c>
    </row>
    <row r="2" spans="1:8" ht="15.75" customHeight="1" x14ac:dyDescent="0.15">
      <c r="A2" s="9" t="s">
        <v>4</v>
      </c>
      <c r="B2" s="9" t="s">
        <v>5</v>
      </c>
      <c r="C2" s="10">
        <v>1.3333333333333333</v>
      </c>
      <c r="D2" s="10">
        <v>2.6666666666666665</v>
      </c>
      <c r="E2" s="10">
        <v>1146.6666666666665</v>
      </c>
      <c r="G2" s="3" t="s">
        <v>5</v>
      </c>
      <c r="H2" s="3">
        <v>112946.66666666669</v>
      </c>
    </row>
    <row r="3" spans="1:8" ht="15.75" customHeight="1" x14ac:dyDescent="0.15">
      <c r="A3" s="9" t="s">
        <v>8</v>
      </c>
      <c r="B3" s="9" t="s">
        <v>9</v>
      </c>
      <c r="C3" s="10">
        <v>0.27619047619047621</v>
      </c>
      <c r="D3" s="10">
        <v>9.6666666666666679</v>
      </c>
      <c r="E3" s="10">
        <v>4156.666666666667</v>
      </c>
      <c r="G3" s="3" t="s">
        <v>24</v>
      </c>
      <c r="H3" s="3">
        <v>10320</v>
      </c>
    </row>
    <row r="4" spans="1:8" ht="15.75" customHeight="1" x14ac:dyDescent="0.15">
      <c r="A4" s="9" t="s">
        <v>11</v>
      </c>
      <c r="B4" s="9" t="s">
        <v>5</v>
      </c>
      <c r="C4" s="10">
        <v>1.3333333333333333</v>
      </c>
      <c r="D4" s="10">
        <v>70.666666666666671</v>
      </c>
      <c r="E4" s="10">
        <v>30386.666666666668</v>
      </c>
      <c r="G4" s="3" t="s">
        <v>9</v>
      </c>
      <c r="H4" s="3">
        <v>25652.571428571431</v>
      </c>
    </row>
    <row r="5" spans="1:8" ht="15.75" customHeight="1" x14ac:dyDescent="0.15">
      <c r="A5" s="9" t="s">
        <v>12</v>
      </c>
      <c r="B5" s="9" t="s">
        <v>5</v>
      </c>
      <c r="C5" s="10">
        <v>1.3333333333333333</v>
      </c>
      <c r="D5" s="10">
        <v>157.33333333333334</v>
      </c>
      <c r="E5" s="10">
        <v>67653.333333333343</v>
      </c>
      <c r="G5" s="3" t="s">
        <v>26</v>
      </c>
      <c r="H5" s="3">
        <v>75297.777777777766</v>
      </c>
    </row>
    <row r="6" spans="1:8" ht="15.75" customHeight="1" x14ac:dyDescent="0.15">
      <c r="A6" s="9" t="s">
        <v>13</v>
      </c>
      <c r="B6" s="9" t="s">
        <v>14</v>
      </c>
      <c r="C6" s="10">
        <v>0</v>
      </c>
      <c r="D6" s="10">
        <v>0</v>
      </c>
      <c r="E6" s="10">
        <v>0</v>
      </c>
      <c r="G6" s="3" t="s">
        <v>18</v>
      </c>
      <c r="H6" s="3">
        <v>0</v>
      </c>
    </row>
    <row r="7" spans="1:8" ht="15.75" customHeight="1" x14ac:dyDescent="0.15">
      <c r="A7" s="9" t="s">
        <v>15</v>
      </c>
      <c r="B7" s="9" t="s">
        <v>14</v>
      </c>
      <c r="C7" s="10">
        <v>0</v>
      </c>
      <c r="D7" s="10">
        <v>0</v>
      </c>
      <c r="E7" s="10">
        <v>0</v>
      </c>
      <c r="G7" s="3" t="s">
        <v>19</v>
      </c>
      <c r="H7" s="3">
        <v>5590</v>
      </c>
    </row>
    <row r="8" spans="1:8" ht="15.75" customHeight="1" x14ac:dyDescent="0.15">
      <c r="A8" s="9" t="s">
        <v>16</v>
      </c>
      <c r="B8" s="9" t="s">
        <v>5</v>
      </c>
      <c r="C8" s="10">
        <v>1.3333333333333333</v>
      </c>
      <c r="D8" s="10">
        <v>32</v>
      </c>
      <c r="E8" s="10">
        <v>13760</v>
      </c>
      <c r="G8" s="3" t="s">
        <v>20</v>
      </c>
      <c r="H8" s="3">
        <v>2293.333333333333</v>
      </c>
    </row>
    <row r="9" spans="1:8" ht="15.75" customHeight="1" x14ac:dyDescent="0.15">
      <c r="A9" s="9" t="s">
        <v>17</v>
      </c>
      <c r="B9" s="9" t="s">
        <v>18</v>
      </c>
      <c r="C9" s="10">
        <v>3.25</v>
      </c>
      <c r="D9" s="10">
        <v>0</v>
      </c>
      <c r="E9" s="10">
        <v>0</v>
      </c>
      <c r="G9" s="3" t="s">
        <v>21</v>
      </c>
      <c r="H9" s="3">
        <v>2723.333333333333</v>
      </c>
    </row>
    <row r="10" spans="1:8" ht="15.75" customHeight="1" x14ac:dyDescent="0.15">
      <c r="A10" s="9" t="s">
        <v>17</v>
      </c>
      <c r="B10" s="9" t="s">
        <v>19</v>
      </c>
      <c r="C10" s="10">
        <v>0.3611111111111111</v>
      </c>
      <c r="D10" s="10">
        <v>13</v>
      </c>
      <c r="E10" s="10">
        <v>5590</v>
      </c>
      <c r="G10" s="3" t="s">
        <v>22</v>
      </c>
      <c r="H10" s="3">
        <v>860</v>
      </c>
    </row>
    <row r="11" spans="1:8" ht="15.75" customHeight="1" x14ac:dyDescent="0.15">
      <c r="A11" s="9" t="s">
        <v>17</v>
      </c>
      <c r="B11" s="9" t="s">
        <v>20</v>
      </c>
      <c r="C11" s="10">
        <v>0.33333333333333331</v>
      </c>
      <c r="D11" s="10">
        <v>5.333333333333333</v>
      </c>
      <c r="E11" s="10">
        <v>2293.333333333333</v>
      </c>
      <c r="G11" s="3" t="s">
        <v>31</v>
      </c>
      <c r="H11" s="3">
        <v>13895.142857142859</v>
      </c>
    </row>
    <row r="12" spans="1:8" ht="15.75" customHeight="1" x14ac:dyDescent="0.15">
      <c r="A12" s="9" t="s">
        <v>17</v>
      </c>
      <c r="B12" s="9" t="s">
        <v>21</v>
      </c>
      <c r="C12" s="10">
        <v>0.33333333333333331</v>
      </c>
      <c r="D12" s="10">
        <v>6.333333333333333</v>
      </c>
      <c r="E12" s="10">
        <v>2723.333333333333</v>
      </c>
    </row>
    <row r="13" spans="1:8" ht="15.75" customHeight="1" x14ac:dyDescent="0.15">
      <c r="A13" s="9" t="s">
        <v>17</v>
      </c>
      <c r="B13" s="9" t="s">
        <v>22</v>
      </c>
      <c r="C13" s="10">
        <v>0.33333333333333331</v>
      </c>
      <c r="D13" s="10">
        <v>2</v>
      </c>
      <c r="E13" s="10">
        <v>860</v>
      </c>
    </row>
    <row r="14" spans="1:8" ht="15.75" customHeight="1" x14ac:dyDescent="0.15">
      <c r="A14" s="9" t="s">
        <v>23</v>
      </c>
      <c r="B14" s="9" t="s">
        <v>24</v>
      </c>
      <c r="C14" s="10">
        <v>2</v>
      </c>
      <c r="D14" s="10">
        <v>24</v>
      </c>
      <c r="E14" s="10">
        <v>10320</v>
      </c>
      <c r="H14" s="3">
        <v>249578.82539682541</v>
      </c>
    </row>
    <row r="15" spans="1:8" ht="15.75" customHeight="1" x14ac:dyDescent="0.15">
      <c r="A15" s="9" t="s">
        <v>25</v>
      </c>
      <c r="B15" s="9" t="s">
        <v>26</v>
      </c>
      <c r="C15" s="10">
        <v>1.0944444444444443</v>
      </c>
      <c r="D15" s="10">
        <v>175.11111111111109</v>
      </c>
      <c r="E15" s="10">
        <v>75297.777777777766</v>
      </c>
    </row>
    <row r="16" spans="1:8" ht="15.75" customHeight="1" x14ac:dyDescent="0.15">
      <c r="A16" s="9" t="s">
        <v>27</v>
      </c>
      <c r="B16" s="9" t="s">
        <v>9</v>
      </c>
      <c r="C16" s="10">
        <v>0.27619047619047621</v>
      </c>
      <c r="D16" s="10">
        <v>49.990476190476194</v>
      </c>
      <c r="E16" s="10">
        <v>21495.904761904763</v>
      </c>
    </row>
    <row r="17" spans="1:5" ht="15.75" customHeight="1" x14ac:dyDescent="0.15">
      <c r="A17" s="9" t="s">
        <v>28</v>
      </c>
      <c r="B17" s="9" t="s">
        <v>14</v>
      </c>
      <c r="C17" s="10">
        <v>0.27619047619047621</v>
      </c>
      <c r="D17" s="10">
        <v>32.314285714285717</v>
      </c>
      <c r="E17" s="10">
        <v>13895.142857142859</v>
      </c>
    </row>
    <row r="18" spans="1:5" ht="15.75" customHeight="1" x14ac:dyDescent="0.15">
      <c r="A18" s="9"/>
      <c r="B18" s="9"/>
      <c r="C18" s="10"/>
      <c r="D18" s="10"/>
      <c r="E18" s="10"/>
    </row>
    <row r="19" spans="1:5" ht="15.75" customHeight="1" x14ac:dyDescent="0.15">
      <c r="A19" s="8" t="s">
        <v>40</v>
      </c>
      <c r="B19" s="9"/>
      <c r="C19" s="9"/>
      <c r="D19" s="9">
        <v>580.41587301587299</v>
      </c>
      <c r="E19" s="9">
        <v>249578.82539682538</v>
      </c>
    </row>
    <row r="20" spans="1:5" ht="15.75" customHeight="1" x14ac:dyDescent="0.15">
      <c r="A20" s="8"/>
      <c r="B20" s="9"/>
      <c r="C20" s="9"/>
      <c r="D20" s="10"/>
      <c r="E20" s="10"/>
    </row>
    <row r="21" spans="1:5" ht="15.75" customHeight="1" x14ac:dyDescent="0.15">
      <c r="A21" s="9"/>
      <c r="B21" s="9"/>
      <c r="C21" s="9"/>
      <c r="D21" s="9"/>
      <c r="E21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Legends</vt:lpstr>
      <vt:lpstr>BG1</vt:lpstr>
      <vt:lpstr>BG2</vt:lpstr>
      <vt:lpstr>VG1</vt:lpstr>
      <vt:lpstr>VG2</vt:lpstr>
      <vt:lpstr>VG3</vt:lpstr>
      <vt:lpstr>3D13D2</vt:lpstr>
      <vt:lpstr>IGZO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Grey-Stewart, Danielle</cp:lastModifiedBy>
  <dcterms:created xsi:type="dcterms:W3CDTF">2026-09-08T19:09:46Z</dcterms:created>
  <dcterms:modified xsi:type="dcterms:W3CDTF">2026-09-08T19:11:51Z</dcterms:modified>
</cp:coreProperties>
</file>