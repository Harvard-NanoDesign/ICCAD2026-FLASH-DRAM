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ary" sheetId="1" r:id="rId5"/>
    <sheet state="visible" name="BG1" sheetId="2" r:id="rId6"/>
    <sheet state="visible" name="BG2" sheetId="3" r:id="rId7"/>
    <sheet state="visible" name="VG1" sheetId="4" r:id="rId8"/>
    <sheet state="visible" name="VG2" sheetId="5" r:id="rId9"/>
    <sheet state="visible" name="VG3" sheetId="6" r:id="rId10"/>
    <sheet state="visible" name="3D13D2" sheetId="7" r:id="rId11"/>
    <sheet state="visible" name="IGZO" sheetId="8" r:id="rId12"/>
    <sheet state="visible" name="HBMB" sheetId="9" r:id="rId13"/>
    <sheet state="visible" name="HBMV1" sheetId="10" r:id="rId14"/>
    <sheet state="visible" name="HBMV2" sheetId="11" r:id="rId15"/>
  </sheets>
  <definedNames/>
  <calcPr/>
</workbook>
</file>

<file path=xl/sharedStrings.xml><?xml version="1.0" encoding="utf-8"?>
<sst xmlns="http://schemas.openxmlformats.org/spreadsheetml/2006/main" count="1264" uniqueCount="92">
  <si>
    <t>Acronym</t>
  </si>
  <si>
    <t>Full Title</t>
  </si>
  <si>
    <t>ACL</t>
  </si>
  <si>
    <t>Amorphous carbon layer</t>
  </si>
  <si>
    <t>Al</t>
  </si>
  <si>
    <t>Aluminum</t>
  </si>
  <si>
    <t>Al(Cu)</t>
  </si>
  <si>
    <t>Aluminum-copper alloy</t>
  </si>
  <si>
    <t>c-Si</t>
  </si>
  <si>
    <t>(Single) crystalline silicon</t>
  </si>
  <si>
    <t>CHM/CSOH</t>
  </si>
  <si>
    <t>Carbon-based (spin-on) hard mask</t>
  </si>
  <si>
    <t>Co</t>
  </si>
  <si>
    <t>Cobalt</t>
  </si>
  <si>
    <t>Copper/Cu</t>
  </si>
  <si>
    <t>Copper</t>
  </si>
  <si>
    <t>HfO2/HfOx</t>
  </si>
  <si>
    <t>Hafnium oxide</t>
  </si>
  <si>
    <t>IGZO</t>
  </si>
  <si>
    <t>Indium gallium zinc oxide</t>
  </si>
  <si>
    <t>Mo</t>
  </si>
  <si>
    <t>Molybdenum</t>
  </si>
  <si>
    <t>NiPt</t>
  </si>
  <si>
    <t>Nickel platinum</t>
  </si>
  <si>
    <t>Poly-Si/Polysilicon</t>
  </si>
  <si>
    <t>Polycrystalliine silicon</t>
  </si>
  <si>
    <t>PSG</t>
  </si>
  <si>
    <t>Phosphosilicate glass</t>
  </si>
  <si>
    <t>Resist</t>
  </si>
  <si>
    <t>Photoresist</t>
  </si>
  <si>
    <t>Si</t>
  </si>
  <si>
    <t>Silicon</t>
  </si>
  <si>
    <t>SiCN</t>
  </si>
  <si>
    <t>Silicon carbonitride</t>
  </si>
  <si>
    <t>SiGe</t>
  </si>
  <si>
    <t>Silicon germanium</t>
  </si>
  <si>
    <t>SiN</t>
  </si>
  <si>
    <t>Silicon nitride</t>
  </si>
  <si>
    <t>SiO</t>
  </si>
  <si>
    <t>Silicon oxide</t>
  </si>
  <si>
    <t>SiOC</t>
  </si>
  <si>
    <t>Silicon oxycarbide</t>
  </si>
  <si>
    <t>SiON</t>
  </si>
  <si>
    <t>Silicon oxynitride</t>
  </si>
  <si>
    <t>Ta</t>
  </si>
  <si>
    <t>Tantalum</t>
  </si>
  <si>
    <t>TaN</t>
  </si>
  <si>
    <t>Tantalum nitride</t>
  </si>
  <si>
    <t>TEOS</t>
  </si>
  <si>
    <t>Tetraethyl orthosilicate</t>
  </si>
  <si>
    <t>Ti</t>
  </si>
  <si>
    <t>Titanium</t>
  </si>
  <si>
    <t>TiN</t>
  </si>
  <si>
    <t>Titanium nitride</t>
  </si>
  <si>
    <t>TiSiP</t>
  </si>
  <si>
    <t>Titanium silicon phosphorus</t>
  </si>
  <si>
    <t>W</t>
  </si>
  <si>
    <t>Tungsten</t>
  </si>
  <si>
    <t>Wafer</t>
  </si>
  <si>
    <t>Silicon wafer</t>
  </si>
  <si>
    <t>ZrAlO</t>
  </si>
  <si>
    <t>Zirconium aluminum oxide</t>
  </si>
  <si>
    <t>ZrHfAlO</t>
  </si>
  <si>
    <t>Zirconium hafnium aluminum oxide</t>
  </si>
  <si>
    <t>ZrHfO</t>
  </si>
  <si>
    <t>Zirconium hafnium oxide</t>
  </si>
  <si>
    <t>Material</t>
  </si>
  <si>
    <t>Total Thickness</t>
  </si>
  <si>
    <t>Total Volume (cubic nm)</t>
  </si>
  <si>
    <t>Total Volume (cubic cm)</t>
  </si>
  <si>
    <t>Density (g/cubic cm)</t>
  </si>
  <si>
    <t>Mass (g)</t>
  </si>
  <si>
    <t>GWP factor (kgCO2e/kg)</t>
  </si>
  <si>
    <t>MPW (gCO2e/wafer)</t>
  </si>
  <si>
    <t>CSOH</t>
  </si>
  <si>
    <t>Cu</t>
  </si>
  <si>
    <t>Polysilicon</t>
  </si>
  <si>
    <t>-</t>
  </si>
  <si>
    <t>Chemicals &amp; Materials:</t>
  </si>
  <si>
    <t>(no wafer)</t>
  </si>
  <si>
    <t>GWP factor (gCO2e/g)</t>
  </si>
  <si>
    <t>Total Thickness (nm)</t>
  </si>
  <si>
    <t>HfOx</t>
  </si>
  <si>
    <t>DRAM</t>
  </si>
  <si>
    <t>Poly-Si</t>
  </si>
  <si>
    <t>PERI</t>
  </si>
  <si>
    <t>Stacked</t>
  </si>
  <si>
    <t>CHM</t>
  </si>
  <si>
    <t>HfO2</t>
  </si>
  <si>
    <t>Chemicals &amp; materials:</t>
  </si>
  <si>
    <t>(no wafers)</t>
  </si>
  <si>
    <t>STACK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</si>
</sst>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Font="1"/>
    <xf borderId="0" fillId="0" fontId="2" numFmtId="4" xfId="0" applyFont="1" applyNumberForma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4" t="s">
        <v>22</v>
      </c>
      <c r="B12" s="3" t="s">
        <v>23</v>
      </c>
    </row>
    <row r="13">
      <c r="A13" s="5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  <c r="H1" s="6" t="s">
        <v>73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</v>
      </c>
      <c r="B2" s="2">
        <v>900.0</v>
      </c>
      <c r="C2" s="2">
        <v>6.361725123519331E19</v>
      </c>
      <c r="D2" s="2">
        <v>0.06361725123519331</v>
      </c>
      <c r="E2" s="7">
        <v>1.9999999999999998</v>
      </c>
      <c r="F2" s="2">
        <v>0.1272345024703866</v>
      </c>
      <c r="G2" s="2">
        <v>254.6479089</v>
      </c>
      <c r="H2" s="2">
        <v>32.39999999401583</v>
      </c>
    </row>
    <row r="3">
      <c r="A3" s="2" t="s">
        <v>4</v>
      </c>
      <c r="B3" s="2">
        <v>4745.0</v>
      </c>
      <c r="C3" s="2">
        <v>3.354042856788803E20</v>
      </c>
      <c r="D3" s="2">
        <v>0.3354042856788803</v>
      </c>
      <c r="E3" s="7">
        <v>2.7</v>
      </c>
      <c r="F3" s="2">
        <v>0.9055915713329769</v>
      </c>
      <c r="G3" s="2">
        <v>10.72688123</v>
      </c>
      <c r="H3" s="2">
        <v>9.714173228577916</v>
      </c>
    </row>
    <row r="4">
      <c r="A4" s="2" t="s">
        <v>12</v>
      </c>
      <c r="B4" s="2">
        <v>27.5</v>
      </c>
      <c r="C4" s="2">
        <v>1.9438604544086845E18</v>
      </c>
      <c r="D4" s="2">
        <v>0.0019438604544086845</v>
      </c>
      <c r="E4" s="7">
        <v>8.9</v>
      </c>
      <c r="F4" s="2">
        <v>0.017300358044237293</v>
      </c>
      <c r="G4" s="2">
        <v>44.5000451259104</v>
      </c>
      <c r="H4" s="2">
        <v>0.7698667136629664</v>
      </c>
    </row>
    <row r="5">
      <c r="A5" s="2" t="s">
        <v>74</v>
      </c>
      <c r="B5" s="2">
        <v>1230.0</v>
      </c>
      <c r="C5" s="2">
        <v>8.694357668809753E19</v>
      </c>
      <c r="D5" s="2">
        <v>0.08694357668809753</v>
      </c>
      <c r="E5" s="7">
        <v>2.2</v>
      </c>
      <c r="F5" s="2">
        <v>0.19127586871381458</v>
      </c>
      <c r="G5" s="2">
        <v>13.98634348</v>
      </c>
      <c r="H5" s="2">
        <v>2.6752499992667964</v>
      </c>
    </row>
    <row r="6">
      <c r="A6" s="2" t="s">
        <v>75</v>
      </c>
      <c r="B6" s="2">
        <v>550.0</v>
      </c>
      <c r="C6" s="2">
        <v>3.8877209088173695E19</v>
      </c>
      <c r="D6" s="2">
        <v>0.03887720908817369</v>
      </c>
      <c r="E6" s="7">
        <v>8.959999999999999</v>
      </c>
      <c r="F6" s="2">
        <v>0.34833979343003624</v>
      </c>
      <c r="G6" s="2">
        <v>6.090112618</v>
      </c>
      <c r="H6" s="2">
        <v>2.121428571319777</v>
      </c>
    </row>
    <row r="7">
      <c r="A7" s="2" t="s">
        <v>76</v>
      </c>
      <c r="B7" s="2">
        <v>35.0</v>
      </c>
      <c r="C7" s="2">
        <v>2.474004214701962E18</v>
      </c>
      <c r="D7" s="2">
        <v>0.002474004214701962</v>
      </c>
      <c r="E7" s="7">
        <v>2.33</v>
      </c>
      <c r="F7" s="2">
        <v>0.0057644298202555715</v>
      </c>
      <c r="G7" s="2">
        <v>4.130951538</v>
      </c>
      <c r="H7" s="2">
        <v>0.023812580231677816</v>
      </c>
    </row>
    <row r="8">
      <c r="A8" s="2" t="s">
        <v>28</v>
      </c>
      <c r="B8" s="2">
        <v>50730.0</v>
      </c>
      <c r="C8" s="2">
        <v>3.5858923946237294E21</v>
      </c>
      <c r="D8" s="2">
        <v>3.5858923946237296</v>
      </c>
      <c r="E8" s="7">
        <v>0.9659999999999999</v>
      </c>
      <c r="F8" s="2">
        <v>3.4639720532065224</v>
      </c>
      <c r="G8" s="2">
        <v>4.2</v>
      </c>
      <c r="H8" s="2">
        <v>14.548682623467394</v>
      </c>
    </row>
    <row r="9">
      <c r="A9" s="2" t="s">
        <v>30</v>
      </c>
      <c r="B9" s="2">
        <v>55.0</v>
      </c>
      <c r="C9" s="2">
        <v>3.887720908817369E18</v>
      </c>
      <c r="D9" s="2">
        <v>0.003887720908817369</v>
      </c>
      <c r="E9" s="7">
        <v>2.29</v>
      </c>
      <c r="F9" s="2">
        <v>0.008902880881191774</v>
      </c>
      <c r="G9" s="2">
        <v>308.8887784</v>
      </c>
      <c r="H9" s="2">
        <v>2.7499999996320423</v>
      </c>
    </row>
    <row r="10">
      <c r="A10" s="2" t="s">
        <v>32</v>
      </c>
      <c r="B10" s="2">
        <v>120.0</v>
      </c>
      <c r="C10" s="2">
        <v>8.482300164692441E18</v>
      </c>
      <c r="D10" s="2">
        <v>0.008482300164692442</v>
      </c>
      <c r="E10" s="7">
        <v>3.3299999999999996</v>
      </c>
      <c r="F10" s="2">
        <v>0.02824605954842583</v>
      </c>
      <c r="G10" s="2">
        <v>67.97408314</v>
      </c>
      <c r="H10" s="2">
        <v>1.9200000001220883</v>
      </c>
    </row>
    <row r="11">
      <c r="A11" s="2" t="s">
        <v>36</v>
      </c>
      <c r="B11" s="2">
        <v>1180.0</v>
      </c>
      <c r="C11" s="2">
        <v>8.340928495280901E19</v>
      </c>
      <c r="D11" s="2">
        <v>0.08340928495280901</v>
      </c>
      <c r="E11" s="7">
        <v>3.17</v>
      </c>
      <c r="F11" s="2">
        <v>0.26440743330040456</v>
      </c>
      <c r="G11" s="2">
        <v>64.5720543</v>
      </c>
      <c r="H11" s="2">
        <v>17.073331140397354</v>
      </c>
    </row>
    <row r="12">
      <c r="A12" s="2" t="s">
        <v>38</v>
      </c>
      <c r="B12" s="2">
        <v>10937.6</v>
      </c>
      <c r="C12" s="2">
        <v>7.731333856778338E20</v>
      </c>
      <c r="D12" s="2">
        <v>0.7731333856778337</v>
      </c>
      <c r="E12" s="7">
        <v>2.13</v>
      </c>
      <c r="F12" s="2">
        <v>1.6467741114937857</v>
      </c>
      <c r="G12" s="2">
        <v>2.046463887</v>
      </c>
      <c r="H12" s="2">
        <v>3.3700637492185437</v>
      </c>
    </row>
    <row r="13">
      <c r="A13" s="2" t="s">
        <v>40</v>
      </c>
      <c r="B13" s="2">
        <v>882.0</v>
      </c>
      <c r="C13" s="2">
        <v>6.234490621048944E19</v>
      </c>
      <c r="D13" s="2">
        <v>0.062344906210489444</v>
      </c>
      <c r="E13" s="7">
        <v>2.0</v>
      </c>
      <c r="F13" s="2">
        <v>0.12468981242097889</v>
      </c>
      <c r="G13" s="2">
        <v>88.01299960362851</v>
      </c>
      <c r="H13" s="2">
        <v>10.97432441118413</v>
      </c>
    </row>
    <row r="14">
      <c r="A14" s="2" t="s">
        <v>42</v>
      </c>
      <c r="B14" s="2">
        <v>432.4</v>
      </c>
      <c r="C14" s="2">
        <v>3.0564554926775095E19</v>
      </c>
      <c r="D14" s="2">
        <v>0.030564554926775095</v>
      </c>
      <c r="E14" s="7">
        <v>2.81</v>
      </c>
      <c r="F14" s="2">
        <v>0.08588639934423802</v>
      </c>
      <c r="G14" s="2">
        <v>37.87056387</v>
      </c>
      <c r="H14" s="2">
        <v>3.2525663719302917</v>
      </c>
    </row>
    <row r="15">
      <c r="A15" s="2" t="s">
        <v>46</v>
      </c>
      <c r="B15" s="2">
        <v>30.0</v>
      </c>
      <c r="C15" s="2">
        <v>2.1205750411731103E18</v>
      </c>
      <c r="D15" s="2">
        <v>0.0021205750411731105</v>
      </c>
      <c r="E15" s="7">
        <v>13.699999999999998</v>
      </c>
      <c r="F15" s="2">
        <v>0.02905187806407161</v>
      </c>
      <c r="G15" s="2">
        <v>25.81588696</v>
      </c>
      <c r="H15" s="2">
        <v>0.7500000000777763</v>
      </c>
    </row>
    <row r="16">
      <c r="A16" s="2" t="s">
        <v>44</v>
      </c>
      <c r="B16" s="2">
        <v>30.0</v>
      </c>
      <c r="C16" s="2">
        <v>2.1205750411731103E18</v>
      </c>
      <c r="D16" s="2">
        <v>0.0021205750411731105</v>
      </c>
      <c r="E16" s="7">
        <v>16.7</v>
      </c>
      <c r="F16" s="2">
        <v>0.035413603187590945</v>
      </c>
      <c r="G16" s="2">
        <v>170.8356</v>
      </c>
      <c r="H16" s="2">
        <v>6.0499041487140115</v>
      </c>
    </row>
    <row r="17">
      <c r="A17" s="2" t="s">
        <v>48</v>
      </c>
      <c r="B17" s="2">
        <v>300.0</v>
      </c>
      <c r="C17" s="2">
        <v>2.1205750411731104E19</v>
      </c>
      <c r="D17" s="2">
        <v>0.021205750411731103</v>
      </c>
      <c r="E17" s="7">
        <v>0.9399999999999998</v>
      </c>
      <c r="F17" s="2">
        <v>0.019933405387027234</v>
      </c>
      <c r="G17" s="2">
        <v>2.859521436</v>
      </c>
      <c r="H17" s="2">
        <v>0.05699999999668225</v>
      </c>
    </row>
    <row r="18">
      <c r="A18" s="2" t="s">
        <v>50</v>
      </c>
      <c r="B18" s="2">
        <v>12.5</v>
      </c>
      <c r="C18" s="2">
        <v>8.835729338221294E17</v>
      </c>
      <c r="D18" s="2">
        <v>8.835729338221294E-4</v>
      </c>
      <c r="E18" s="7">
        <v>4.5</v>
      </c>
      <c r="F18" s="2">
        <v>0.003976078202199583</v>
      </c>
      <c r="G18" s="2">
        <v>47.63335371</v>
      </c>
      <c r="H18" s="2">
        <v>0.18939393938399363</v>
      </c>
    </row>
    <row r="19">
      <c r="A19" s="2" t="s">
        <v>52</v>
      </c>
      <c r="B19" s="2">
        <v>90.5</v>
      </c>
      <c r="C19" s="2">
        <v>6.397068040872217E18</v>
      </c>
      <c r="D19" s="2">
        <v>0.006397068040872217</v>
      </c>
      <c r="E19" s="7">
        <v>5.209999999999999</v>
      </c>
      <c r="F19" s="2">
        <v>0.033328724492944245</v>
      </c>
      <c r="G19" s="2">
        <v>43.97783202</v>
      </c>
      <c r="H19" s="2">
        <v>1.4657250471915617</v>
      </c>
    </row>
    <row r="20">
      <c r="A20" s="2" t="s">
        <v>56</v>
      </c>
      <c r="B20" s="2">
        <v>362.0</v>
      </c>
      <c r="C20" s="2">
        <v>2.5588272163488866E19</v>
      </c>
      <c r="D20" s="2">
        <v>0.025588272163488867</v>
      </c>
      <c r="E20" s="7">
        <v>19.3</v>
      </c>
      <c r="F20" s="2">
        <v>0.49385365275533516</v>
      </c>
      <c r="G20" s="2">
        <v>75.81493114</v>
      </c>
      <c r="H20" s="2">
        <v>37.4414806768832</v>
      </c>
    </row>
    <row r="21">
      <c r="A21" s="2" t="s">
        <v>58</v>
      </c>
      <c r="B21" s="2" t="s">
        <v>77</v>
      </c>
      <c r="C21" s="2" t="s">
        <v>77</v>
      </c>
      <c r="D21" s="2" t="s">
        <v>77</v>
      </c>
      <c r="E21" s="7" t="s">
        <v>77</v>
      </c>
      <c r="F21" s="2" t="s">
        <v>77</v>
      </c>
      <c r="G21" s="2">
        <v>365.3054</v>
      </c>
      <c r="H21" s="2">
        <v>25821.91712152532</v>
      </c>
    </row>
    <row r="22">
      <c r="A22" s="2" t="s">
        <v>60</v>
      </c>
      <c r="B22" s="2">
        <v>2.4</v>
      </c>
      <c r="C22" s="2">
        <v>1.6964600329384883E17</v>
      </c>
      <c r="D22" s="2">
        <v>1.6964600329384883E-4</v>
      </c>
      <c r="E22" s="2">
        <v>4.8149999999999995</v>
      </c>
      <c r="F22" s="2">
        <v>8.16845505859882E-4</v>
      </c>
      <c r="G22" s="2">
        <v>1065.070666154757</v>
      </c>
      <c r="H22" s="2">
        <v>0.869998187071704</v>
      </c>
    </row>
    <row r="23">
      <c r="A23" s="2" t="s">
        <v>62</v>
      </c>
      <c r="B23" s="2">
        <v>1.6</v>
      </c>
      <c r="C23" s="2">
        <v>1.1309733552923256E17</v>
      </c>
      <c r="D23" s="2">
        <v>1.1309733552923256E-4</v>
      </c>
      <c r="E23" s="2">
        <v>6.44</v>
      </c>
      <c r="F23" s="2">
        <v>7.283468408082577E-4</v>
      </c>
      <c r="G23" s="2">
        <v>1008.6373963173792</v>
      </c>
      <c r="H23" s="2">
        <v>0.7346378611288297</v>
      </c>
    </row>
    <row r="24">
      <c r="A24" s="2" t="s">
        <v>64</v>
      </c>
      <c r="B24" s="2">
        <v>1.6</v>
      </c>
      <c r="C24" s="2">
        <v>1.1309733552923256E17</v>
      </c>
      <c r="D24" s="2">
        <v>1.1309733552923256E-4</v>
      </c>
      <c r="E24" s="2">
        <v>7.685</v>
      </c>
      <c r="F24" s="2">
        <v>8.691530235421522E-4</v>
      </c>
      <c r="G24" s="2">
        <v>1015.9485375966532</v>
      </c>
      <c r="H24" s="2">
        <v>0.883014743215359</v>
      </c>
    </row>
    <row r="26">
      <c r="G26" s="4" t="s">
        <v>78</v>
      </c>
      <c r="H26" s="2">
        <v>150.0346539866914</v>
      </c>
    </row>
    <row r="27">
      <c r="G27" s="4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80</v>
      </c>
      <c r="H1" s="8" t="s">
        <v>73</v>
      </c>
    </row>
    <row r="2">
      <c r="A2" s="4" t="s">
        <v>2</v>
      </c>
      <c r="B2" s="9">
        <v>900.0</v>
      </c>
      <c r="C2" s="9">
        <f t="shared" ref="C2:C20" si="1">B2*PI()*(150000000)^2</f>
        <v>6.36173E+19</v>
      </c>
      <c r="D2" s="9">
        <f t="shared" ref="D2:D20" si="2">C2/1E+21
</f>
        <v>0.06361725124</v>
      </c>
      <c r="E2" s="10">
        <v>1.9999999999999998</v>
      </c>
      <c r="F2" s="9">
        <f t="shared" ref="F2:F20" si="3">D2*E2</f>
        <v>0.1272345025</v>
      </c>
      <c r="G2" s="9">
        <v>254.6479089</v>
      </c>
      <c r="H2" s="9">
        <f t="shared" ref="H2:H20" si="4">F2*G2</f>
        <v>32.39999999</v>
      </c>
    </row>
    <row r="3">
      <c r="A3" s="4" t="s">
        <v>4</v>
      </c>
      <c r="B3" s="9">
        <v>4745.0</v>
      </c>
      <c r="C3" s="9">
        <f t="shared" si="1"/>
        <v>3.35404E+20</v>
      </c>
      <c r="D3" s="9">
        <f t="shared" si="2"/>
        <v>0.3354042857</v>
      </c>
      <c r="E3" s="10">
        <v>2.7</v>
      </c>
      <c r="F3" s="9">
        <f t="shared" si="3"/>
        <v>0.9055915713</v>
      </c>
      <c r="G3" s="9">
        <v>10.72688123</v>
      </c>
      <c r="H3" s="9">
        <f t="shared" si="4"/>
        <v>9.714173229</v>
      </c>
    </row>
    <row r="4">
      <c r="A4" s="4" t="s">
        <v>12</v>
      </c>
      <c r="B4" s="9">
        <v>27.5</v>
      </c>
      <c r="C4" s="9">
        <f t="shared" si="1"/>
        <v>1.94386E+18</v>
      </c>
      <c r="D4" s="9">
        <f t="shared" si="2"/>
        <v>0.001943860454</v>
      </c>
      <c r="E4" s="10">
        <v>8.9</v>
      </c>
      <c r="F4" s="9">
        <f t="shared" si="3"/>
        <v>0.01730035804</v>
      </c>
      <c r="G4" s="9">
        <v>44.5000451259104</v>
      </c>
      <c r="H4" s="9">
        <f t="shared" si="4"/>
        <v>0.7698667137</v>
      </c>
    </row>
    <row r="5">
      <c r="A5" s="4" t="s">
        <v>74</v>
      </c>
      <c r="B5" s="9">
        <v>1230.0</v>
      </c>
      <c r="C5" s="9">
        <f t="shared" si="1"/>
        <v>8.69436E+19</v>
      </c>
      <c r="D5" s="9">
        <f t="shared" si="2"/>
        <v>0.08694357669</v>
      </c>
      <c r="E5" s="10">
        <v>2.2</v>
      </c>
      <c r="F5" s="9">
        <f t="shared" si="3"/>
        <v>0.1912758687</v>
      </c>
      <c r="G5" s="9">
        <v>13.98634348</v>
      </c>
      <c r="H5" s="9">
        <f t="shared" si="4"/>
        <v>2.675249999</v>
      </c>
    </row>
    <row r="6">
      <c r="A6" s="4" t="s">
        <v>75</v>
      </c>
      <c r="B6" s="9">
        <v>550.0</v>
      </c>
      <c r="C6" s="9">
        <f t="shared" si="1"/>
        <v>3.88772E+19</v>
      </c>
      <c r="D6" s="9">
        <f t="shared" si="2"/>
        <v>0.03887720909</v>
      </c>
      <c r="E6" s="10">
        <v>8.959999999999999</v>
      </c>
      <c r="F6" s="9">
        <f t="shared" si="3"/>
        <v>0.3483397934</v>
      </c>
      <c r="G6" s="9">
        <v>6.090112618</v>
      </c>
      <c r="H6" s="9">
        <f t="shared" si="4"/>
        <v>2.121428571</v>
      </c>
    </row>
    <row r="7">
      <c r="A7" s="4" t="s">
        <v>76</v>
      </c>
      <c r="B7" s="9">
        <v>35.0</v>
      </c>
      <c r="C7" s="9">
        <f t="shared" si="1"/>
        <v>2.474E+18</v>
      </c>
      <c r="D7" s="9">
        <f t="shared" si="2"/>
        <v>0.002474004215</v>
      </c>
      <c r="E7" s="10">
        <v>2.33</v>
      </c>
      <c r="F7" s="9">
        <f t="shared" si="3"/>
        <v>0.00576442982</v>
      </c>
      <c r="G7" s="9">
        <v>4.130951538</v>
      </c>
      <c r="H7" s="9">
        <f t="shared" si="4"/>
        <v>0.02381258023</v>
      </c>
    </row>
    <row r="8">
      <c r="A8" s="4" t="s">
        <v>28</v>
      </c>
      <c r="B8" s="9">
        <v>50730.0</v>
      </c>
      <c r="C8" s="9">
        <f t="shared" si="1"/>
        <v>3.58589E+21</v>
      </c>
      <c r="D8" s="9">
        <f t="shared" si="2"/>
        <v>3.585892395</v>
      </c>
      <c r="E8" s="10">
        <v>0.9659999999999999</v>
      </c>
      <c r="F8" s="9">
        <f t="shared" si="3"/>
        <v>3.463972053</v>
      </c>
      <c r="G8" s="9">
        <v>4.2</v>
      </c>
      <c r="H8" s="9">
        <f t="shared" si="4"/>
        <v>14.54868262</v>
      </c>
    </row>
    <row r="9">
      <c r="A9" s="4" t="s">
        <v>30</v>
      </c>
      <c r="B9" s="9">
        <v>55.0</v>
      </c>
      <c r="C9" s="9">
        <f t="shared" si="1"/>
        <v>3.88772E+18</v>
      </c>
      <c r="D9" s="9">
        <f t="shared" si="2"/>
        <v>0.003887720909</v>
      </c>
      <c r="E9" s="10">
        <v>2.29</v>
      </c>
      <c r="F9" s="9">
        <f t="shared" si="3"/>
        <v>0.008902880881</v>
      </c>
      <c r="G9" s="9">
        <v>308.8887784</v>
      </c>
      <c r="H9" s="9">
        <f t="shared" si="4"/>
        <v>2.75</v>
      </c>
    </row>
    <row r="10">
      <c r="A10" s="4" t="s">
        <v>32</v>
      </c>
      <c r="B10" s="9">
        <v>120.0</v>
      </c>
      <c r="C10" s="9">
        <f t="shared" si="1"/>
        <v>8.4823E+18</v>
      </c>
      <c r="D10" s="9">
        <f t="shared" si="2"/>
        <v>0.008482300165</v>
      </c>
      <c r="E10" s="10">
        <v>3.3299999999999996</v>
      </c>
      <c r="F10" s="9">
        <f t="shared" si="3"/>
        <v>0.02824605955</v>
      </c>
      <c r="G10" s="9">
        <v>67.97408314</v>
      </c>
      <c r="H10" s="9">
        <f t="shared" si="4"/>
        <v>1.92</v>
      </c>
    </row>
    <row r="11">
      <c r="A11" s="4" t="s">
        <v>36</v>
      </c>
      <c r="B11" s="9">
        <v>1180.0</v>
      </c>
      <c r="C11" s="9">
        <f t="shared" si="1"/>
        <v>8.34093E+19</v>
      </c>
      <c r="D11" s="9">
        <f t="shared" si="2"/>
        <v>0.08340928495</v>
      </c>
      <c r="E11" s="10">
        <v>3.17</v>
      </c>
      <c r="F11" s="9">
        <f t="shared" si="3"/>
        <v>0.2644074333</v>
      </c>
      <c r="G11" s="9">
        <v>64.5720543</v>
      </c>
      <c r="H11" s="9">
        <f t="shared" si="4"/>
        <v>17.07333114</v>
      </c>
    </row>
    <row r="12">
      <c r="A12" s="4" t="s">
        <v>38</v>
      </c>
      <c r="B12" s="9">
        <v>10937.6</v>
      </c>
      <c r="C12" s="9">
        <f t="shared" si="1"/>
        <v>7.73133E+20</v>
      </c>
      <c r="D12" s="9">
        <f t="shared" si="2"/>
        <v>0.7731333857</v>
      </c>
      <c r="E12" s="10">
        <v>2.13</v>
      </c>
      <c r="F12" s="9">
        <f t="shared" si="3"/>
        <v>1.646774111</v>
      </c>
      <c r="G12" s="9">
        <v>2.046463887</v>
      </c>
      <c r="H12" s="9">
        <f t="shared" si="4"/>
        <v>3.370063749</v>
      </c>
    </row>
    <row r="13">
      <c r="A13" s="4" t="s">
        <v>40</v>
      </c>
      <c r="B13" s="9">
        <v>882.0</v>
      </c>
      <c r="C13" s="9">
        <f t="shared" si="1"/>
        <v>6.23449E+19</v>
      </c>
      <c r="D13" s="9">
        <f t="shared" si="2"/>
        <v>0.06234490621</v>
      </c>
      <c r="E13" s="10">
        <v>2.0</v>
      </c>
      <c r="F13" s="9">
        <f t="shared" si="3"/>
        <v>0.1246898124</v>
      </c>
      <c r="G13" s="9">
        <v>88.01299960362851</v>
      </c>
      <c r="H13" s="9">
        <f t="shared" si="4"/>
        <v>10.97432441</v>
      </c>
    </row>
    <row r="14">
      <c r="A14" s="4" t="s">
        <v>42</v>
      </c>
      <c r="B14" s="9">
        <v>432.4</v>
      </c>
      <c r="C14" s="9">
        <f t="shared" si="1"/>
        <v>3.05646E+19</v>
      </c>
      <c r="D14" s="9">
        <f t="shared" si="2"/>
        <v>0.03056455493</v>
      </c>
      <c r="E14" s="10">
        <v>2.81</v>
      </c>
      <c r="F14" s="9">
        <f t="shared" si="3"/>
        <v>0.08588639934</v>
      </c>
      <c r="G14" s="9">
        <v>37.87056387</v>
      </c>
      <c r="H14" s="9">
        <f t="shared" si="4"/>
        <v>3.252566372</v>
      </c>
    </row>
    <row r="15">
      <c r="A15" s="4" t="s">
        <v>46</v>
      </c>
      <c r="B15" s="9">
        <v>30.0</v>
      </c>
      <c r="C15" s="9">
        <f t="shared" si="1"/>
        <v>2.12058E+18</v>
      </c>
      <c r="D15" s="9">
        <f t="shared" si="2"/>
        <v>0.002120575041</v>
      </c>
      <c r="E15" s="10">
        <v>13.699999999999998</v>
      </c>
      <c r="F15" s="9">
        <f t="shared" si="3"/>
        <v>0.02905187806</v>
      </c>
      <c r="G15" s="9">
        <v>25.81588696</v>
      </c>
      <c r="H15" s="9">
        <f t="shared" si="4"/>
        <v>0.7500000001</v>
      </c>
    </row>
    <row r="16">
      <c r="A16" s="4" t="s">
        <v>44</v>
      </c>
      <c r="B16" s="9">
        <v>30.0</v>
      </c>
      <c r="C16" s="9">
        <f t="shared" si="1"/>
        <v>2.12058E+18</v>
      </c>
      <c r="D16" s="9">
        <f t="shared" si="2"/>
        <v>0.002120575041</v>
      </c>
      <c r="E16" s="10">
        <v>16.7</v>
      </c>
      <c r="F16" s="9">
        <f t="shared" si="3"/>
        <v>0.03541360319</v>
      </c>
      <c r="G16" s="9">
        <v>170.8356</v>
      </c>
      <c r="H16" s="9">
        <f t="shared" si="4"/>
        <v>6.049904149</v>
      </c>
    </row>
    <row r="17">
      <c r="A17" s="4" t="s">
        <v>48</v>
      </c>
      <c r="B17" s="9">
        <v>300.0</v>
      </c>
      <c r="C17" s="9">
        <f t="shared" si="1"/>
        <v>2.12058E+19</v>
      </c>
      <c r="D17" s="9">
        <f t="shared" si="2"/>
        <v>0.02120575041</v>
      </c>
      <c r="E17" s="10">
        <v>0.9399999999999998</v>
      </c>
      <c r="F17" s="9">
        <f t="shared" si="3"/>
        <v>0.01993340539</v>
      </c>
      <c r="G17" s="9">
        <v>2.859521436</v>
      </c>
      <c r="H17" s="9">
        <f t="shared" si="4"/>
        <v>0.057</v>
      </c>
    </row>
    <row r="18">
      <c r="A18" s="4" t="s">
        <v>50</v>
      </c>
      <c r="B18" s="9">
        <v>12.5</v>
      </c>
      <c r="C18" s="9">
        <f t="shared" si="1"/>
        <v>8.83573E+17</v>
      </c>
      <c r="D18" s="9">
        <f t="shared" si="2"/>
        <v>0.0008835729338</v>
      </c>
      <c r="E18" s="10">
        <v>4.5</v>
      </c>
      <c r="F18" s="9">
        <f t="shared" si="3"/>
        <v>0.003976078202</v>
      </c>
      <c r="G18" s="9">
        <v>47.63335371</v>
      </c>
      <c r="H18" s="9">
        <f t="shared" si="4"/>
        <v>0.1893939394</v>
      </c>
    </row>
    <row r="19">
      <c r="A19" s="4" t="s">
        <v>52</v>
      </c>
      <c r="B19" s="9">
        <v>90.5</v>
      </c>
      <c r="C19" s="9">
        <f t="shared" si="1"/>
        <v>6.39707E+18</v>
      </c>
      <c r="D19" s="9">
        <f t="shared" si="2"/>
        <v>0.006397068041</v>
      </c>
      <c r="E19" s="10">
        <v>5.209999999999999</v>
      </c>
      <c r="F19" s="9">
        <f t="shared" si="3"/>
        <v>0.03332872449</v>
      </c>
      <c r="G19" s="9">
        <v>43.97783202</v>
      </c>
      <c r="H19" s="9">
        <f t="shared" si="4"/>
        <v>1.465725047</v>
      </c>
    </row>
    <row r="20">
      <c r="A20" s="4" t="s">
        <v>56</v>
      </c>
      <c r="B20" s="9">
        <v>362.0</v>
      </c>
      <c r="C20" s="9">
        <f t="shared" si="1"/>
        <v>2.55883E+19</v>
      </c>
      <c r="D20" s="9">
        <f t="shared" si="2"/>
        <v>0.02558827216</v>
      </c>
      <c r="E20" s="10">
        <v>19.3</v>
      </c>
      <c r="F20" s="9">
        <f t="shared" si="3"/>
        <v>0.4938536528</v>
      </c>
      <c r="G20" s="9">
        <v>75.81493114</v>
      </c>
      <c r="H20" s="9">
        <f t="shared" si="4"/>
        <v>37.44148068</v>
      </c>
    </row>
    <row r="21">
      <c r="A21" s="4" t="s">
        <v>58</v>
      </c>
      <c r="B21" s="11" t="s">
        <v>77</v>
      </c>
      <c r="C21" s="11" t="s">
        <v>77</v>
      </c>
      <c r="D21" s="11" t="s">
        <v>77</v>
      </c>
      <c r="E21" s="12" t="s">
        <v>77</v>
      </c>
      <c r="F21" s="11" t="s">
        <v>77</v>
      </c>
      <c r="G21" s="9">
        <v>365.3054</v>
      </c>
      <c r="H21" s="9">
        <f>(G21*PI()*(0.15)^2)*1000</f>
        <v>25821.91712</v>
      </c>
    </row>
    <row r="22">
      <c r="A22" s="4" t="s">
        <v>60</v>
      </c>
      <c r="B22" s="9">
        <v>2.4</v>
      </c>
      <c r="C22" s="9">
        <f t="shared" ref="C22:C24" si="5">B22*PI()*(150000000)^2</f>
        <v>1.69646E+17</v>
      </c>
      <c r="D22" s="9">
        <f t="shared" ref="D22:D24" si="6">C22/1E+21
</f>
        <v>0.0001696460033</v>
      </c>
      <c r="E22" s="9">
        <v>4.8149999999999995</v>
      </c>
      <c r="F22" s="9">
        <f t="shared" ref="F22:F24" si="7">D22*E22</f>
        <v>0.0008168455059</v>
      </c>
      <c r="G22" s="9">
        <v>1065.070666154757</v>
      </c>
      <c r="H22" s="9">
        <f t="shared" ref="H22:H24" si="8">F22*G22</f>
        <v>0.8699981871</v>
      </c>
    </row>
    <row r="23">
      <c r="A23" s="4" t="s">
        <v>62</v>
      </c>
      <c r="B23" s="9">
        <v>1.6</v>
      </c>
      <c r="C23" s="9">
        <f t="shared" si="5"/>
        <v>1.13097E+17</v>
      </c>
      <c r="D23" s="9">
        <f t="shared" si="6"/>
        <v>0.0001130973355</v>
      </c>
      <c r="E23" s="9">
        <v>6.44</v>
      </c>
      <c r="F23" s="9">
        <f t="shared" si="7"/>
        <v>0.0007283468408</v>
      </c>
      <c r="G23" s="9">
        <v>1008.6373963173792</v>
      </c>
      <c r="H23" s="9">
        <f t="shared" si="8"/>
        <v>0.7346378611</v>
      </c>
    </row>
    <row r="24">
      <c r="A24" s="4" t="s">
        <v>64</v>
      </c>
      <c r="B24" s="9">
        <v>1.6</v>
      </c>
      <c r="C24" s="9">
        <f t="shared" si="5"/>
        <v>1.13097E+17</v>
      </c>
      <c r="D24" s="9">
        <f t="shared" si="6"/>
        <v>0.0001130973355</v>
      </c>
      <c r="E24" s="9">
        <v>7.685</v>
      </c>
      <c r="F24" s="9">
        <f t="shared" si="7"/>
        <v>0.0008691530235</v>
      </c>
      <c r="G24" s="9">
        <v>1015.9485375966532</v>
      </c>
      <c r="H24" s="9">
        <f t="shared" si="8"/>
        <v>0.8830147432</v>
      </c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 t="s">
        <v>78</v>
      </c>
      <c r="H26" s="9">
        <f>sum(H2:H24)-H21</f>
        <v>150.034654</v>
      </c>
    </row>
    <row r="27">
      <c r="G27" s="4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66</v>
      </c>
      <c r="B1" s="6" t="s">
        <v>81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80</v>
      </c>
      <c r="H1" s="6" t="s">
        <v>73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</v>
      </c>
      <c r="B2" s="2">
        <v>900.0</v>
      </c>
      <c r="C2" s="2">
        <v>6.361725123519331E19</v>
      </c>
      <c r="D2" s="2">
        <v>0.06361725123519331</v>
      </c>
      <c r="E2" s="7">
        <v>1.9999999999999998</v>
      </c>
      <c r="F2" s="2">
        <v>0.1272345024703866</v>
      </c>
      <c r="G2" s="2">
        <v>254.6479089</v>
      </c>
      <c r="H2" s="2">
        <v>32.39999999401583</v>
      </c>
    </row>
    <row r="3">
      <c r="A3" s="2" t="s">
        <v>4</v>
      </c>
      <c r="B3" s="2">
        <v>4745.0</v>
      </c>
      <c r="C3" s="2">
        <v>3.354042856788803E20</v>
      </c>
      <c r="D3" s="2">
        <v>0.3354042856788803</v>
      </c>
      <c r="E3" s="7">
        <v>2.7</v>
      </c>
      <c r="F3" s="2">
        <v>0.9055915713329769</v>
      </c>
      <c r="G3" s="2">
        <v>10.72688123</v>
      </c>
      <c r="H3" s="2">
        <v>9.714173228577916</v>
      </c>
    </row>
    <row r="4">
      <c r="A4" s="2" t="s">
        <v>12</v>
      </c>
      <c r="B4" s="2">
        <v>27.5</v>
      </c>
      <c r="C4" s="2">
        <v>1.9438604544086845E18</v>
      </c>
      <c r="D4" s="2">
        <v>0.0019438604544086845</v>
      </c>
      <c r="E4" s="2">
        <v>8.9</v>
      </c>
      <c r="F4" s="2">
        <v>0.017300358044237293</v>
      </c>
      <c r="G4" s="2">
        <v>44.5000451259104</v>
      </c>
      <c r="H4" s="2">
        <v>0.7698667136629664</v>
      </c>
    </row>
    <row r="5">
      <c r="A5" s="2" t="s">
        <v>74</v>
      </c>
      <c r="B5" s="2">
        <v>990.0</v>
      </c>
      <c r="C5" s="2">
        <v>6.997897635871265E19</v>
      </c>
      <c r="D5" s="2">
        <v>0.06997897635871264</v>
      </c>
      <c r="E5" s="7">
        <v>2.2</v>
      </c>
      <c r="F5" s="2">
        <v>0.15395374798916783</v>
      </c>
      <c r="G5" s="2">
        <v>13.98634348</v>
      </c>
      <c r="H5" s="2">
        <v>2.153249999409861</v>
      </c>
    </row>
    <row r="6">
      <c r="A6" s="2" t="s">
        <v>75</v>
      </c>
      <c r="B6" s="2">
        <v>550.0</v>
      </c>
      <c r="C6" s="2">
        <v>3.8877209088173695E19</v>
      </c>
      <c r="D6" s="2">
        <v>0.03887720908817369</v>
      </c>
      <c r="E6" s="7">
        <v>8.959999999999999</v>
      </c>
      <c r="F6" s="2">
        <v>0.34833979343003624</v>
      </c>
      <c r="G6" s="2">
        <v>6.090112618</v>
      </c>
      <c r="H6" s="2">
        <v>2.121428571319777</v>
      </c>
    </row>
    <row r="7">
      <c r="A7" s="2" t="s">
        <v>82</v>
      </c>
      <c r="B7" s="2">
        <v>18.0</v>
      </c>
      <c r="C7" s="2">
        <v>1.272345024703866E18</v>
      </c>
      <c r="D7" s="2">
        <v>0.0012723450247038662</v>
      </c>
      <c r="E7" s="2">
        <v>9.69</v>
      </c>
      <c r="F7" s="2">
        <v>0.012329023289380462</v>
      </c>
      <c r="G7" s="2">
        <v>24.90282413547882</v>
      </c>
      <c r="H7" s="2">
        <v>0.3070274987376642</v>
      </c>
    </row>
    <row r="8">
      <c r="A8" s="2" t="s">
        <v>76</v>
      </c>
      <c r="B8" s="2">
        <v>35.0</v>
      </c>
      <c r="C8" s="2">
        <v>2.474004214701962E18</v>
      </c>
      <c r="D8" s="2">
        <v>0.002474004214701962</v>
      </c>
      <c r="E8" s="7">
        <v>2.33</v>
      </c>
      <c r="F8" s="2">
        <v>0.0057644298202555715</v>
      </c>
      <c r="G8" s="2">
        <v>4.130951538</v>
      </c>
      <c r="H8" s="2">
        <v>0.023812580231677816</v>
      </c>
    </row>
    <row r="9">
      <c r="A9" s="2" t="s">
        <v>28</v>
      </c>
      <c r="B9" s="2">
        <v>52280.0</v>
      </c>
      <c r="C9" s="2">
        <v>3.695455438417674E21</v>
      </c>
      <c r="D9" s="2">
        <v>3.6954554384176737</v>
      </c>
      <c r="E9" s="7">
        <v>0.9659999999999999</v>
      </c>
      <c r="F9" s="2">
        <v>3.5698099535114722</v>
      </c>
      <c r="G9" s="2">
        <v>4.2</v>
      </c>
      <c r="H9" s="2">
        <v>14.993201804748184</v>
      </c>
    </row>
    <row r="10">
      <c r="A10" s="2" t="s">
        <v>30</v>
      </c>
      <c r="B10" s="2">
        <v>55.0</v>
      </c>
      <c r="C10" s="2">
        <v>3.887720908817369E18</v>
      </c>
      <c r="D10" s="2">
        <v>0.003887720908817369</v>
      </c>
      <c r="E10" s="7">
        <v>2.29</v>
      </c>
      <c r="F10" s="2">
        <v>0.008902880881191774</v>
      </c>
      <c r="G10" s="2">
        <v>308.8887784</v>
      </c>
      <c r="H10" s="2">
        <v>2.7499999996320423</v>
      </c>
    </row>
    <row r="11">
      <c r="A11" s="2" t="s">
        <v>32</v>
      </c>
      <c r="B11" s="2">
        <v>120.0</v>
      </c>
      <c r="C11" s="2">
        <v>8.482300164692441E18</v>
      </c>
      <c r="D11" s="2">
        <v>0.008482300164692442</v>
      </c>
      <c r="E11" s="7">
        <v>3.3299999999999996</v>
      </c>
      <c r="F11" s="2">
        <v>0.02824605954842583</v>
      </c>
      <c r="G11" s="2">
        <v>67.97408314</v>
      </c>
      <c r="H11" s="2">
        <v>1.9200000001220883</v>
      </c>
    </row>
    <row r="12">
      <c r="A12" s="2" t="s">
        <v>36</v>
      </c>
      <c r="B12" s="2">
        <v>1204.0</v>
      </c>
      <c r="C12" s="2">
        <v>8.510574498574749E19</v>
      </c>
      <c r="D12" s="2">
        <v>0.0851057449857475</v>
      </c>
      <c r="E12" s="7">
        <v>3.17</v>
      </c>
      <c r="F12" s="2">
        <v>0.26978521160481955</v>
      </c>
      <c r="G12" s="2">
        <v>64.5720543</v>
      </c>
      <c r="H12" s="2">
        <v>17.420585333083398</v>
      </c>
    </row>
    <row r="13">
      <c r="A13" s="2" t="s">
        <v>38</v>
      </c>
      <c r="B13" s="2">
        <v>10929.6</v>
      </c>
      <c r="C13" s="2">
        <v>7.725678990001875E20</v>
      </c>
      <c r="D13" s="2">
        <v>0.7725678990001875</v>
      </c>
      <c r="E13" s="7">
        <v>2.13</v>
      </c>
      <c r="F13" s="2">
        <v>1.6455696248703993</v>
      </c>
      <c r="G13" s="2">
        <v>2.046463887</v>
      </c>
      <c r="H13" s="2">
        <v>3.3675988108414088</v>
      </c>
    </row>
    <row r="14">
      <c r="A14" s="2" t="s">
        <v>40</v>
      </c>
      <c r="B14" s="2">
        <v>882.0</v>
      </c>
      <c r="C14" s="2">
        <v>6.234490621048944E19</v>
      </c>
      <c r="D14" s="2">
        <v>0.062344906210489444</v>
      </c>
      <c r="E14" s="2">
        <v>2.0</v>
      </c>
      <c r="F14" s="2">
        <v>0.12468981242097889</v>
      </c>
      <c r="G14" s="2">
        <v>88.01299960362851</v>
      </c>
      <c r="H14" s="2">
        <v>10.97432441118413</v>
      </c>
    </row>
    <row r="15">
      <c r="A15" s="2" t="s">
        <v>42</v>
      </c>
      <c r="B15" s="2">
        <v>402.4</v>
      </c>
      <c r="C15" s="2">
        <v>2.8443979885601985E19</v>
      </c>
      <c r="D15" s="2">
        <v>0.028443979885601985</v>
      </c>
      <c r="E15" s="7">
        <v>2.81</v>
      </c>
      <c r="F15" s="2">
        <v>0.07992758347854158</v>
      </c>
      <c r="G15" s="2">
        <v>37.87056387</v>
      </c>
      <c r="H15" s="2">
        <v>3.0269026550988656</v>
      </c>
    </row>
    <row r="16">
      <c r="A16" s="2" t="s">
        <v>44</v>
      </c>
      <c r="B16" s="2">
        <v>22.5</v>
      </c>
      <c r="C16" s="2">
        <v>1.5904312808798328E18</v>
      </c>
      <c r="D16" s="2">
        <v>0.0015904312808798329</v>
      </c>
      <c r="E16" s="2">
        <v>16.7</v>
      </c>
      <c r="F16" s="2">
        <v>0.02656020239069321</v>
      </c>
      <c r="G16" s="2">
        <v>170.8356</v>
      </c>
      <c r="H16" s="2">
        <v>4.537428111535509</v>
      </c>
    </row>
    <row r="17">
      <c r="A17" s="2" t="s">
        <v>46</v>
      </c>
      <c r="B17" s="2">
        <v>22.5</v>
      </c>
      <c r="C17" s="2">
        <v>1.5904312808798328E18</v>
      </c>
      <c r="D17" s="2">
        <v>0.0015904312808798329</v>
      </c>
      <c r="E17" s="7">
        <v>13.699999999999998</v>
      </c>
      <c r="F17" s="2">
        <v>0.021788908548053706</v>
      </c>
      <c r="G17" s="2">
        <v>25.81588696</v>
      </c>
      <c r="H17" s="2">
        <v>0.5625000000583322</v>
      </c>
    </row>
    <row r="18">
      <c r="A18" s="2" t="s">
        <v>48</v>
      </c>
      <c r="B18" s="2">
        <v>300.0</v>
      </c>
      <c r="C18" s="2">
        <v>2.1205750411731104E19</v>
      </c>
      <c r="D18" s="2">
        <v>0.021205750411731103</v>
      </c>
      <c r="E18" s="7">
        <v>0.9399999999999998</v>
      </c>
      <c r="F18" s="2">
        <v>0.019933405387027234</v>
      </c>
      <c r="G18" s="2">
        <v>2.859521436</v>
      </c>
      <c r="H18" s="2">
        <v>0.05699999999668225</v>
      </c>
    </row>
    <row r="19">
      <c r="A19" s="2" t="s">
        <v>50</v>
      </c>
      <c r="B19" s="2">
        <v>12.5</v>
      </c>
      <c r="C19" s="2">
        <v>8.835729338221294E17</v>
      </c>
      <c r="D19" s="2">
        <v>8.835729338221294E-4</v>
      </c>
      <c r="E19" s="7">
        <v>4.5</v>
      </c>
      <c r="F19" s="2">
        <v>0.003976078202199583</v>
      </c>
      <c r="G19" s="2">
        <v>47.63335371</v>
      </c>
      <c r="H19" s="2">
        <v>0.18939393938399363</v>
      </c>
    </row>
    <row r="20">
      <c r="A20" s="2" t="s">
        <v>52</v>
      </c>
      <c r="B20" s="2">
        <v>90.5</v>
      </c>
      <c r="C20" s="2">
        <v>6.397068040872217E18</v>
      </c>
      <c r="D20" s="2">
        <v>0.006397068040872217</v>
      </c>
      <c r="E20" s="7">
        <v>5.209999999999999</v>
      </c>
      <c r="F20" s="2">
        <v>0.033328724492944245</v>
      </c>
      <c r="G20" s="2">
        <v>43.97783202</v>
      </c>
      <c r="H20" s="2">
        <v>1.4657250471915617</v>
      </c>
    </row>
    <row r="21">
      <c r="A21" s="2" t="s">
        <v>56</v>
      </c>
      <c r="B21" s="2">
        <v>362.0</v>
      </c>
      <c r="C21" s="2">
        <v>2.5588272163488866E19</v>
      </c>
      <c r="D21" s="2">
        <v>0.025588272163488867</v>
      </c>
      <c r="E21" s="7">
        <v>19.3</v>
      </c>
      <c r="F21" s="2">
        <v>0.49385365275533516</v>
      </c>
      <c r="G21" s="2">
        <v>75.81493114</v>
      </c>
      <c r="H21" s="2">
        <v>37.4414806768832</v>
      </c>
    </row>
    <row r="22">
      <c r="A22" s="2" t="s">
        <v>60</v>
      </c>
      <c r="B22" s="2">
        <v>2.4</v>
      </c>
      <c r="C22" s="2">
        <v>1.6964600329384883E17</v>
      </c>
      <c r="D22" s="2">
        <v>1.6964600329384883E-4</v>
      </c>
      <c r="E22" s="2">
        <v>4.8149999999999995</v>
      </c>
      <c r="F22" s="2">
        <v>8.16845505859882E-4</v>
      </c>
      <c r="G22" s="2">
        <v>1065.070666154757</v>
      </c>
      <c r="H22" s="2">
        <v>0.869998187071704</v>
      </c>
    </row>
    <row r="23">
      <c r="A23" s="2" t="s">
        <v>62</v>
      </c>
      <c r="B23" s="2">
        <v>1.6</v>
      </c>
      <c r="C23" s="2">
        <v>1.1309733552923256E17</v>
      </c>
      <c r="D23" s="2">
        <v>1.1309733552923256E-4</v>
      </c>
      <c r="E23" s="2">
        <v>6.44</v>
      </c>
      <c r="F23" s="2">
        <v>7.283468408082577E-4</v>
      </c>
      <c r="G23" s="2">
        <v>1008.6373963173792</v>
      </c>
      <c r="H23" s="2">
        <v>0.7346378611288297</v>
      </c>
    </row>
    <row r="24">
      <c r="A24" s="2" t="s">
        <v>64</v>
      </c>
      <c r="B24" s="2">
        <v>1.6</v>
      </c>
      <c r="C24" s="2">
        <v>1.1309733552923256E17</v>
      </c>
      <c r="D24" s="2">
        <v>1.1309733552923256E-4</v>
      </c>
      <c r="E24" s="2">
        <v>7.685</v>
      </c>
      <c r="F24" s="2">
        <v>8.691530235421522E-4</v>
      </c>
      <c r="G24" s="2">
        <v>1015.9485375966532</v>
      </c>
      <c r="H24" s="2">
        <v>0.883014743215359</v>
      </c>
    </row>
    <row r="26">
      <c r="G26" s="4" t="s">
        <v>78</v>
      </c>
      <c r="H26" s="2">
        <v>148.68335016713095</v>
      </c>
    </row>
    <row r="27">
      <c r="G27" s="4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58</v>
      </c>
      <c r="B1" s="8" t="s">
        <v>66</v>
      </c>
      <c r="C1" s="8" t="s">
        <v>81</v>
      </c>
      <c r="D1" s="8" t="s">
        <v>68</v>
      </c>
      <c r="E1" s="8" t="s">
        <v>69</v>
      </c>
      <c r="F1" s="8" t="s">
        <v>70</v>
      </c>
      <c r="G1" s="8" t="s">
        <v>71</v>
      </c>
      <c r="H1" s="8" t="s">
        <v>80</v>
      </c>
      <c r="I1" s="8" t="s">
        <v>73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83</v>
      </c>
      <c r="B2" s="4" t="s">
        <v>2</v>
      </c>
      <c r="C2" s="9">
        <v>600.0</v>
      </c>
      <c r="D2" s="9">
        <v>4.241150082346221E19</v>
      </c>
      <c r="E2" s="9">
        <v>0.042411500823462206</v>
      </c>
      <c r="F2" s="10">
        <v>1.9999999999999998</v>
      </c>
      <c r="G2" s="9">
        <v>0.0848230016469244</v>
      </c>
      <c r="H2" s="9">
        <v>254.6479089</v>
      </c>
      <c r="I2" s="9">
        <v>21.599999996010556</v>
      </c>
    </row>
    <row r="3">
      <c r="A3" s="4" t="s">
        <v>83</v>
      </c>
      <c r="B3" s="4" t="s">
        <v>4</v>
      </c>
      <c r="C3" s="9">
        <v>4745.0</v>
      </c>
      <c r="D3" s="9">
        <v>3.354042856788803E20</v>
      </c>
      <c r="E3" s="9">
        <v>0.3354042856788803</v>
      </c>
      <c r="F3" s="10">
        <v>2.7</v>
      </c>
      <c r="G3" s="9">
        <v>0.9055915713329769</v>
      </c>
      <c r="H3" s="9">
        <v>10.72688123</v>
      </c>
      <c r="I3" s="9">
        <v>9.714173228577916</v>
      </c>
    </row>
    <row r="4">
      <c r="A4" s="4" t="s">
        <v>83</v>
      </c>
      <c r="B4" s="4" t="s">
        <v>6</v>
      </c>
      <c r="C4" s="9">
        <v>0.0</v>
      </c>
      <c r="D4" s="9">
        <v>0.0</v>
      </c>
      <c r="E4" s="9">
        <v>0.0</v>
      </c>
      <c r="F4" s="9">
        <v>2.78</v>
      </c>
      <c r="G4" s="9">
        <v>0.0</v>
      </c>
      <c r="H4" s="9">
        <v>8.408496924</v>
      </c>
      <c r="I4" s="9">
        <v>0.0</v>
      </c>
    </row>
    <row r="5">
      <c r="A5" s="4" t="s">
        <v>83</v>
      </c>
      <c r="B5" s="4" t="s">
        <v>12</v>
      </c>
      <c r="C5" s="9">
        <v>27.5</v>
      </c>
      <c r="D5" s="9">
        <v>1.9438604544086845E18</v>
      </c>
      <c r="E5" s="9">
        <v>0.0019438604544086845</v>
      </c>
      <c r="F5" s="10">
        <v>8.9</v>
      </c>
      <c r="G5" s="9">
        <v>0.017300358044237293</v>
      </c>
      <c r="H5" s="9">
        <v>44.5000451259104</v>
      </c>
      <c r="I5" s="9">
        <v>0.7698667136629664</v>
      </c>
    </row>
    <row r="6">
      <c r="A6" s="4" t="s">
        <v>83</v>
      </c>
      <c r="B6" s="4" t="s">
        <v>74</v>
      </c>
      <c r="C6" s="9">
        <v>1140.0</v>
      </c>
      <c r="D6" s="9">
        <v>8.05818515645782E19</v>
      </c>
      <c r="E6" s="9">
        <v>0.0805818515645782</v>
      </c>
      <c r="F6" s="10">
        <v>2.2</v>
      </c>
      <c r="G6" s="9">
        <v>0.17728007344207206</v>
      </c>
      <c r="H6" s="9">
        <v>13.98634348</v>
      </c>
      <c r="I6" s="9">
        <v>2.4794999993204456</v>
      </c>
    </row>
    <row r="7">
      <c r="A7" s="4" t="s">
        <v>83</v>
      </c>
      <c r="B7" s="4" t="s">
        <v>75</v>
      </c>
      <c r="C7" s="9">
        <v>550.0</v>
      </c>
      <c r="D7" s="9">
        <v>3.8877209088173695E19</v>
      </c>
      <c r="E7" s="9">
        <v>0.03887720908817369</v>
      </c>
      <c r="F7" s="10">
        <v>8.959999999999999</v>
      </c>
      <c r="G7" s="9">
        <v>0.34833979343003624</v>
      </c>
      <c r="H7" s="9">
        <v>6.090112618</v>
      </c>
      <c r="I7" s="9">
        <v>2.121428571319777</v>
      </c>
    </row>
    <row r="8">
      <c r="A8" s="4" t="s">
        <v>83</v>
      </c>
      <c r="B8" s="4" t="s">
        <v>82</v>
      </c>
      <c r="C8" s="9">
        <v>18.0</v>
      </c>
      <c r="D8" s="9">
        <v>1.272345024703866E18</v>
      </c>
      <c r="E8" s="9">
        <v>0.0012723450247038662</v>
      </c>
      <c r="F8" s="9">
        <v>9.69</v>
      </c>
      <c r="G8" s="9">
        <v>0.012329023289380462</v>
      </c>
      <c r="H8" s="9">
        <v>24.90282413547882</v>
      </c>
      <c r="I8" s="9">
        <v>0.3070274987376642</v>
      </c>
    </row>
    <row r="9">
      <c r="A9" s="4" t="s">
        <v>83</v>
      </c>
      <c r="B9" s="4" t="s">
        <v>22</v>
      </c>
      <c r="C9" s="9">
        <v>0.0</v>
      </c>
      <c r="D9" s="9">
        <v>0.0</v>
      </c>
      <c r="E9" s="9">
        <v>0.0</v>
      </c>
      <c r="F9" s="9">
        <v>18.63</v>
      </c>
      <c r="G9" s="9">
        <v>0.0</v>
      </c>
      <c r="H9" s="9">
        <v>19053.34</v>
      </c>
      <c r="I9" s="9">
        <v>0.0</v>
      </c>
    </row>
    <row r="10">
      <c r="A10" s="4" t="s">
        <v>83</v>
      </c>
      <c r="B10" s="4" t="s">
        <v>84</v>
      </c>
      <c r="C10" s="9">
        <v>0.0</v>
      </c>
      <c r="D10" s="9">
        <v>0.0</v>
      </c>
      <c r="E10" s="9">
        <v>0.0</v>
      </c>
      <c r="F10" s="10">
        <v>2.33</v>
      </c>
      <c r="G10" s="9">
        <v>0.0</v>
      </c>
      <c r="H10" s="9">
        <v>4.130951538</v>
      </c>
      <c r="I10" s="9">
        <v>0.0</v>
      </c>
    </row>
    <row r="11">
      <c r="A11" s="4" t="s">
        <v>83</v>
      </c>
      <c r="B11" s="4" t="s">
        <v>28</v>
      </c>
      <c r="C11" s="9">
        <v>36130.0</v>
      </c>
      <c r="D11" s="9">
        <v>2.5538792079194823E21</v>
      </c>
      <c r="E11" s="9">
        <v>2.5538792079194823</v>
      </c>
      <c r="F11" s="10">
        <v>0.9659999999999999</v>
      </c>
      <c r="G11" s="9">
        <v>2.4670473148502197</v>
      </c>
      <c r="H11" s="9">
        <v>4.2</v>
      </c>
      <c r="I11" s="9">
        <v>10.361598722370923</v>
      </c>
    </row>
    <row r="12">
      <c r="A12" s="4" t="s">
        <v>83</v>
      </c>
      <c r="B12" s="4" t="s">
        <v>30</v>
      </c>
      <c r="C12" s="9">
        <v>55.0</v>
      </c>
      <c r="D12" s="9">
        <v>3.887720908817369E18</v>
      </c>
      <c r="E12" s="9">
        <v>0.003887720908817369</v>
      </c>
      <c r="F12" s="10">
        <v>2.29</v>
      </c>
      <c r="G12" s="9">
        <v>0.008902880881191774</v>
      </c>
      <c r="H12" s="9">
        <v>308.8887784</v>
      </c>
      <c r="I12" s="9">
        <v>2.7499999996320423</v>
      </c>
    </row>
    <row r="13">
      <c r="A13" s="4" t="s">
        <v>83</v>
      </c>
      <c r="B13" s="4" t="s">
        <v>32</v>
      </c>
      <c r="C13" s="9">
        <v>120.0</v>
      </c>
      <c r="D13" s="9">
        <v>8.482300164692441E18</v>
      </c>
      <c r="E13" s="9">
        <v>0.008482300164692442</v>
      </c>
      <c r="F13" s="10">
        <v>3.3299999999999996</v>
      </c>
      <c r="G13" s="9">
        <v>0.02824605954842583</v>
      </c>
      <c r="H13" s="9">
        <v>67.97408314</v>
      </c>
      <c r="I13" s="9">
        <v>1.9200000001220883</v>
      </c>
    </row>
    <row r="14">
      <c r="A14" s="4" t="s">
        <v>83</v>
      </c>
      <c r="B14" s="4" t="s">
        <v>36</v>
      </c>
      <c r="C14" s="9">
        <v>1154.0</v>
      </c>
      <c r="D14" s="9">
        <v>8.157145325045898E19</v>
      </c>
      <c r="E14" s="9">
        <v>0.08157145325045898</v>
      </c>
      <c r="F14" s="10">
        <v>3.17</v>
      </c>
      <c r="G14" s="9">
        <v>0.2585815068039549</v>
      </c>
      <c r="H14" s="9">
        <v>64.5720543</v>
      </c>
      <c r="I14" s="9">
        <v>16.697139098320797</v>
      </c>
    </row>
    <row r="15">
      <c r="A15" s="4" t="s">
        <v>83</v>
      </c>
      <c r="B15" s="4" t="s">
        <v>38</v>
      </c>
      <c r="C15" s="9">
        <v>10902.0</v>
      </c>
      <c r="D15" s="9">
        <v>7.706169699623082E20</v>
      </c>
      <c r="E15" s="9">
        <v>0.7706169699623082</v>
      </c>
      <c r="F15" s="10">
        <v>2.13</v>
      </c>
      <c r="G15" s="9">
        <v>1.6414141460197165</v>
      </c>
      <c r="H15" s="9">
        <v>2.046463887</v>
      </c>
      <c r="I15" s="9">
        <v>3.3590947734402943</v>
      </c>
    </row>
    <row r="16">
      <c r="A16" s="4" t="s">
        <v>83</v>
      </c>
      <c r="B16" s="4" t="s">
        <v>40</v>
      </c>
      <c r="C16" s="9">
        <v>882.0</v>
      </c>
      <c r="D16" s="9">
        <v>6.234490621048944E19</v>
      </c>
      <c r="E16" s="9">
        <v>0.062344906210489444</v>
      </c>
      <c r="F16" s="9">
        <v>2.0</v>
      </c>
      <c r="G16" s="9">
        <v>0.12468981242097889</v>
      </c>
      <c r="H16" s="9">
        <v>88.01299960362851</v>
      </c>
      <c r="I16" s="9">
        <v>10.97432441118413</v>
      </c>
    </row>
    <row r="17">
      <c r="A17" s="4" t="s">
        <v>83</v>
      </c>
      <c r="B17" s="4" t="s">
        <v>42</v>
      </c>
      <c r="C17" s="9">
        <v>352.4</v>
      </c>
      <c r="D17" s="9">
        <v>2.4909688150313468E19</v>
      </c>
      <c r="E17" s="9">
        <v>0.02490968815031347</v>
      </c>
      <c r="F17" s="10">
        <v>2.81</v>
      </c>
      <c r="G17" s="9">
        <v>0.06999622370238084</v>
      </c>
      <c r="H17" s="9">
        <v>37.87056387</v>
      </c>
      <c r="I17" s="9">
        <v>2.6507964603798215</v>
      </c>
    </row>
    <row r="18">
      <c r="A18" s="4" t="s">
        <v>83</v>
      </c>
      <c r="B18" s="4" t="s">
        <v>44</v>
      </c>
      <c r="C18" s="9">
        <v>22.5</v>
      </c>
      <c r="D18" s="9">
        <v>1.5904312808798328E18</v>
      </c>
      <c r="E18" s="9">
        <v>0.0015904312808798329</v>
      </c>
      <c r="F18" s="9">
        <v>16.7</v>
      </c>
      <c r="G18" s="9">
        <v>0.02656020239069321</v>
      </c>
      <c r="H18" s="9">
        <v>170.8356</v>
      </c>
      <c r="I18" s="9">
        <v>4.537428111535509</v>
      </c>
    </row>
    <row r="19">
      <c r="A19" s="4" t="s">
        <v>83</v>
      </c>
      <c r="B19" s="4" t="s">
        <v>46</v>
      </c>
      <c r="C19" s="9">
        <v>22.5</v>
      </c>
      <c r="D19" s="9">
        <v>1.5904312808798328E18</v>
      </c>
      <c r="E19" s="9">
        <v>0.0015904312808798329</v>
      </c>
      <c r="F19" s="10">
        <v>13.699999999999998</v>
      </c>
      <c r="G19" s="9">
        <v>0.021788908548053706</v>
      </c>
      <c r="H19" s="9">
        <v>25.81588696</v>
      </c>
      <c r="I19" s="9">
        <v>0.5625000000583322</v>
      </c>
    </row>
    <row r="20">
      <c r="A20" s="4" t="s">
        <v>83</v>
      </c>
      <c r="B20" s="4" t="s">
        <v>48</v>
      </c>
      <c r="C20" s="9">
        <v>300.0</v>
      </c>
      <c r="D20" s="9">
        <v>2.1205750411731104E19</v>
      </c>
      <c r="E20" s="9">
        <v>0.021205750411731103</v>
      </c>
      <c r="F20" s="10">
        <v>0.9399999999999998</v>
      </c>
      <c r="G20" s="9">
        <v>0.019933405387027234</v>
      </c>
      <c r="H20" s="9">
        <v>2.859521436</v>
      </c>
      <c r="I20" s="9">
        <v>0.05699999999668225</v>
      </c>
    </row>
    <row r="21">
      <c r="A21" s="4" t="s">
        <v>83</v>
      </c>
      <c r="B21" s="4" t="s">
        <v>50</v>
      </c>
      <c r="C21" s="9">
        <v>12.5</v>
      </c>
      <c r="D21" s="9">
        <v>8.835729338221294E17</v>
      </c>
      <c r="E21" s="9">
        <v>8.835729338221294E-4</v>
      </c>
      <c r="F21" s="10">
        <v>4.5</v>
      </c>
      <c r="G21" s="9">
        <v>0.003976078202199583</v>
      </c>
      <c r="H21" s="9">
        <v>47.63335371</v>
      </c>
      <c r="I21" s="9">
        <v>0.18939393938399363</v>
      </c>
    </row>
    <row r="22">
      <c r="A22" s="4" t="s">
        <v>83</v>
      </c>
      <c r="B22" s="4" t="s">
        <v>52</v>
      </c>
      <c r="C22" s="9">
        <v>94.0</v>
      </c>
      <c r="D22" s="9">
        <v>6.644468462342413E18</v>
      </c>
      <c r="E22" s="9">
        <v>0.006644468462342413</v>
      </c>
      <c r="F22" s="10">
        <v>5.209999999999999</v>
      </c>
      <c r="G22" s="9">
        <v>0.03461768068880397</v>
      </c>
      <c r="H22" s="9">
        <v>43.97783202</v>
      </c>
      <c r="I22" s="9">
        <v>1.522410546254219</v>
      </c>
    </row>
    <row r="23">
      <c r="A23" s="4" t="s">
        <v>83</v>
      </c>
      <c r="B23" s="4" t="s">
        <v>56</v>
      </c>
      <c r="C23" s="9">
        <v>358.0</v>
      </c>
      <c r="D23" s="9">
        <v>2.5305528824665784E19</v>
      </c>
      <c r="E23" s="9">
        <v>0.025305528824665784</v>
      </c>
      <c r="F23" s="10">
        <v>19.3</v>
      </c>
      <c r="G23" s="9">
        <v>0.48839670631604964</v>
      </c>
      <c r="H23" s="9">
        <v>75.81493114</v>
      </c>
      <c r="I23" s="9">
        <v>37.027762658354106</v>
      </c>
    </row>
    <row r="24">
      <c r="A24" s="4" t="s">
        <v>83</v>
      </c>
      <c r="B24" s="4" t="s">
        <v>60</v>
      </c>
      <c r="C24" s="9">
        <v>2.4</v>
      </c>
      <c r="D24" s="9">
        <v>1.6964600329384883E17</v>
      </c>
      <c r="E24" s="9">
        <v>1.6964600329384883E-4</v>
      </c>
      <c r="F24" s="9">
        <v>4.8149999999999995</v>
      </c>
      <c r="G24" s="9">
        <v>8.16845505859882E-4</v>
      </c>
      <c r="H24" s="9">
        <v>1065.070666154757</v>
      </c>
      <c r="I24" s="9">
        <v>0.869998187071704</v>
      </c>
    </row>
    <row r="25">
      <c r="A25" s="4" t="s">
        <v>83</v>
      </c>
      <c r="B25" s="4" t="s">
        <v>62</v>
      </c>
      <c r="C25" s="9">
        <v>1.6</v>
      </c>
      <c r="D25" s="9">
        <v>1.1309733552923256E17</v>
      </c>
      <c r="E25" s="9">
        <v>1.1309733552923256E-4</v>
      </c>
      <c r="F25" s="9">
        <v>6.44</v>
      </c>
      <c r="G25" s="9">
        <v>7.283468408082577E-4</v>
      </c>
      <c r="H25" s="9">
        <v>1008.6373963173792</v>
      </c>
      <c r="I25" s="9">
        <v>0.7346378611288297</v>
      </c>
    </row>
    <row r="26">
      <c r="A26" s="4" t="s">
        <v>83</v>
      </c>
      <c r="B26" s="4" t="s">
        <v>64</v>
      </c>
      <c r="C26" s="9">
        <v>1.6</v>
      </c>
      <c r="D26" s="9">
        <v>1.1309733552923256E17</v>
      </c>
      <c r="E26" s="9">
        <v>1.1309733552923256E-4</v>
      </c>
      <c r="F26" s="9">
        <v>7.685</v>
      </c>
      <c r="G26" s="9">
        <v>8.691530235421522E-4</v>
      </c>
      <c r="H26" s="9">
        <v>1015.9485375966532</v>
      </c>
      <c r="I26" s="9">
        <v>0.883014743215359</v>
      </c>
    </row>
    <row r="27">
      <c r="A27" s="5" t="s">
        <v>85</v>
      </c>
      <c r="B27" s="4" t="s">
        <v>2</v>
      </c>
      <c r="C27" s="9">
        <v>0.0</v>
      </c>
      <c r="D27" s="9">
        <v>0.0</v>
      </c>
      <c r="E27" s="9">
        <v>0.0</v>
      </c>
      <c r="F27" s="10">
        <v>1.9999999999999998</v>
      </c>
      <c r="G27" s="9">
        <v>0.0</v>
      </c>
      <c r="H27" s="9">
        <v>254.6479089</v>
      </c>
      <c r="I27" s="9">
        <v>0.0</v>
      </c>
    </row>
    <row r="28">
      <c r="A28" s="5" t="s">
        <v>85</v>
      </c>
      <c r="B28" s="4" t="s">
        <v>4</v>
      </c>
      <c r="C28" s="9">
        <v>0.0</v>
      </c>
      <c r="D28" s="9">
        <v>0.0</v>
      </c>
      <c r="E28" s="9">
        <v>0.0</v>
      </c>
      <c r="F28" s="10">
        <v>2.7</v>
      </c>
      <c r="G28" s="9">
        <v>0.0</v>
      </c>
      <c r="H28" s="9">
        <v>10.72688123</v>
      </c>
      <c r="I28" s="9">
        <v>0.0</v>
      </c>
    </row>
    <row r="29">
      <c r="A29" s="5" t="s">
        <v>85</v>
      </c>
      <c r="B29" s="4" t="s">
        <v>6</v>
      </c>
      <c r="C29" s="9">
        <v>0.0</v>
      </c>
      <c r="D29" s="9">
        <v>0.0</v>
      </c>
      <c r="E29" s="9">
        <v>0.0</v>
      </c>
      <c r="F29" s="9">
        <v>2.78</v>
      </c>
      <c r="G29" s="9">
        <v>0.0</v>
      </c>
      <c r="H29" s="9">
        <v>8.408496924</v>
      </c>
      <c r="I29" s="9">
        <v>0.0</v>
      </c>
    </row>
    <row r="30">
      <c r="A30" s="5" t="s">
        <v>85</v>
      </c>
      <c r="B30" s="4" t="s">
        <v>12</v>
      </c>
      <c r="C30" s="9">
        <v>0.0</v>
      </c>
      <c r="D30" s="9">
        <v>0.0</v>
      </c>
      <c r="E30" s="9">
        <v>0.0</v>
      </c>
      <c r="F30" s="10">
        <v>8.9</v>
      </c>
      <c r="G30" s="9">
        <v>0.0</v>
      </c>
      <c r="H30" s="9">
        <v>44.5000451259104</v>
      </c>
      <c r="I30" s="9">
        <v>0.0</v>
      </c>
    </row>
    <row r="31">
      <c r="A31" s="5" t="s">
        <v>85</v>
      </c>
      <c r="B31" s="4" t="s">
        <v>74</v>
      </c>
      <c r="C31" s="9">
        <v>0.0</v>
      </c>
      <c r="D31" s="9">
        <v>0.0</v>
      </c>
      <c r="E31" s="9">
        <v>0.0</v>
      </c>
      <c r="F31" s="10">
        <v>2.2</v>
      </c>
      <c r="G31" s="9">
        <v>0.0</v>
      </c>
      <c r="H31" s="9">
        <v>13.98634348</v>
      </c>
      <c r="I31" s="9">
        <v>0.0</v>
      </c>
    </row>
    <row r="32">
      <c r="A32" s="5" t="s">
        <v>85</v>
      </c>
      <c r="B32" s="4" t="s">
        <v>75</v>
      </c>
      <c r="C32" s="9">
        <v>2068.333333333333</v>
      </c>
      <c r="D32" s="9">
        <v>1.4620186811643498E20</v>
      </c>
      <c r="E32" s="9">
        <v>0.14620186811643499</v>
      </c>
      <c r="F32" s="10">
        <v>8.959999999999999</v>
      </c>
      <c r="G32" s="9">
        <v>1.3099687383232574</v>
      </c>
      <c r="H32" s="9">
        <v>6.090112618</v>
      </c>
      <c r="I32" s="9">
        <v>7.97785714244801</v>
      </c>
    </row>
    <row r="33">
      <c r="A33" s="5" t="s">
        <v>85</v>
      </c>
      <c r="B33" s="4" t="s">
        <v>82</v>
      </c>
      <c r="C33" s="9">
        <v>0.0</v>
      </c>
      <c r="D33" s="9">
        <v>0.0</v>
      </c>
      <c r="E33" s="9">
        <v>0.0</v>
      </c>
      <c r="F33" s="9">
        <v>9.69</v>
      </c>
      <c r="G33" s="9">
        <v>0.0</v>
      </c>
      <c r="H33" s="9">
        <v>24.90282413547882</v>
      </c>
      <c r="I33" s="9">
        <v>0.0</v>
      </c>
    </row>
    <row r="34">
      <c r="A34" s="5" t="s">
        <v>85</v>
      </c>
      <c r="B34" s="4" t="s">
        <v>22</v>
      </c>
      <c r="C34" s="9">
        <v>26.0</v>
      </c>
      <c r="D34" s="9">
        <v>1.837831702350029E18</v>
      </c>
      <c r="E34" s="9">
        <v>0.001837831702350029</v>
      </c>
      <c r="F34" s="9">
        <v>18.63</v>
      </c>
      <c r="G34" s="9">
        <v>0.03423880461478104</v>
      </c>
      <c r="H34" s="9">
        <v>19053.34</v>
      </c>
      <c r="I34" s="9">
        <v>652.3635855189923</v>
      </c>
    </row>
    <row r="35">
      <c r="A35" s="5" t="s">
        <v>85</v>
      </c>
      <c r="B35" s="4" t="s">
        <v>84</v>
      </c>
      <c r="C35" s="9">
        <v>130.0</v>
      </c>
      <c r="D35" s="9">
        <v>9.189158511750144E18</v>
      </c>
      <c r="E35" s="9">
        <v>0.009189158511750143</v>
      </c>
      <c r="F35" s="10">
        <v>2.33</v>
      </c>
      <c r="G35" s="9">
        <v>0.021410739332377835</v>
      </c>
      <c r="H35" s="9">
        <v>4.130951538</v>
      </c>
      <c r="I35" s="9">
        <v>0.0884467265748033</v>
      </c>
    </row>
    <row r="36">
      <c r="A36" s="5" t="s">
        <v>85</v>
      </c>
      <c r="B36" s="4" t="s">
        <v>28</v>
      </c>
      <c r="C36" s="9">
        <v>21500.0</v>
      </c>
      <c r="D36" s="9">
        <v>1.5197454461740623E21</v>
      </c>
      <c r="E36" s="9">
        <v>1.5197454461740623</v>
      </c>
      <c r="F36" s="10">
        <v>0.9659999999999999</v>
      </c>
      <c r="G36" s="9">
        <v>1.468074101004144</v>
      </c>
      <c r="H36" s="9">
        <v>4.2</v>
      </c>
      <c r="I36" s="9">
        <v>6.165911224217405</v>
      </c>
    </row>
    <row r="37">
      <c r="A37" s="5" t="s">
        <v>85</v>
      </c>
      <c r="B37" s="4" t="s">
        <v>30</v>
      </c>
      <c r="C37" s="9">
        <v>0.0</v>
      </c>
      <c r="D37" s="9">
        <v>0.0</v>
      </c>
      <c r="E37" s="9">
        <v>0.0</v>
      </c>
      <c r="F37" s="10">
        <v>2.29</v>
      </c>
      <c r="G37" s="9">
        <v>0.0</v>
      </c>
      <c r="H37" s="9">
        <v>308.8887784</v>
      </c>
      <c r="I37" s="9">
        <v>0.0</v>
      </c>
    </row>
    <row r="38">
      <c r="A38" s="5" t="s">
        <v>85</v>
      </c>
      <c r="B38" s="4" t="s">
        <v>32</v>
      </c>
      <c r="C38" s="9">
        <v>123.0</v>
      </c>
      <c r="D38" s="9">
        <v>8.694357668809753E18</v>
      </c>
      <c r="E38" s="9">
        <v>0.008694357668809752</v>
      </c>
      <c r="F38" s="10">
        <v>3.3299999999999996</v>
      </c>
      <c r="G38" s="9">
        <v>0.028952211037136473</v>
      </c>
      <c r="H38" s="9">
        <v>67.97408314</v>
      </c>
      <c r="I38" s="9">
        <v>1.9680000001251403</v>
      </c>
    </row>
    <row r="39">
      <c r="A39" s="5" t="s">
        <v>85</v>
      </c>
      <c r="B39" s="4" t="s">
        <v>36</v>
      </c>
      <c r="C39" s="9">
        <v>244.0</v>
      </c>
      <c r="D39" s="9">
        <v>1.7247343668207964E19</v>
      </c>
      <c r="E39" s="9">
        <v>0.017247343668207963</v>
      </c>
      <c r="F39" s="10">
        <v>3.17</v>
      </c>
      <c r="G39" s="9">
        <v>0.05467407942821924</v>
      </c>
      <c r="H39" s="9">
        <v>64.5720543</v>
      </c>
      <c r="I39" s="9">
        <v>3.530417625641486</v>
      </c>
    </row>
    <row r="40">
      <c r="A40" s="5" t="s">
        <v>85</v>
      </c>
      <c r="B40" s="4" t="s">
        <v>38</v>
      </c>
      <c r="C40" s="9">
        <v>3809.0</v>
      </c>
      <c r="D40" s="9">
        <v>2.6924234439427922E20</v>
      </c>
      <c r="E40" s="9">
        <v>0.26924234439427924</v>
      </c>
      <c r="F40" s="10">
        <v>2.13</v>
      </c>
      <c r="G40" s="9">
        <v>0.5734861935598148</v>
      </c>
      <c r="H40" s="9">
        <v>2.046463887</v>
      </c>
      <c r="I40" s="9">
        <v>1.1736187848132529</v>
      </c>
    </row>
    <row r="41">
      <c r="A41" s="5" t="s">
        <v>85</v>
      </c>
      <c r="B41" s="4" t="s">
        <v>40</v>
      </c>
      <c r="C41" s="9">
        <v>0.0</v>
      </c>
      <c r="D41" s="9">
        <v>0.0</v>
      </c>
      <c r="E41" s="9">
        <v>0.0</v>
      </c>
      <c r="F41" s="9">
        <v>2.0</v>
      </c>
      <c r="G41" s="9">
        <v>0.0</v>
      </c>
      <c r="H41" s="9">
        <v>88.01299960362851</v>
      </c>
      <c r="I41" s="9">
        <v>0.0</v>
      </c>
    </row>
    <row r="42">
      <c r="A42" s="5" t="s">
        <v>85</v>
      </c>
      <c r="B42" s="4" t="s">
        <v>42</v>
      </c>
      <c r="C42" s="9">
        <v>9.6</v>
      </c>
      <c r="D42" s="9">
        <v>6.785840131753953E17</v>
      </c>
      <c r="E42" s="9">
        <v>6.785840131753953E-4</v>
      </c>
      <c r="F42" s="10">
        <v>2.81</v>
      </c>
      <c r="G42" s="9">
        <v>0.001906821077022861</v>
      </c>
      <c r="H42" s="9">
        <v>37.87056387</v>
      </c>
      <c r="I42" s="9">
        <v>0.07221238938605644</v>
      </c>
    </row>
    <row r="43">
      <c r="A43" s="5" t="s">
        <v>85</v>
      </c>
      <c r="B43" s="4" t="s">
        <v>44</v>
      </c>
      <c r="C43" s="9">
        <v>18.333333333333332</v>
      </c>
      <c r="D43" s="9">
        <v>1.2959069696057897E18</v>
      </c>
      <c r="E43" s="9">
        <v>0.0012959069696057896</v>
      </c>
      <c r="F43" s="9">
        <v>16.7</v>
      </c>
      <c r="G43" s="9">
        <v>0.021641646392416686</v>
      </c>
      <c r="H43" s="9">
        <v>170.8356</v>
      </c>
      <c r="I43" s="9">
        <v>3.69716364643634</v>
      </c>
    </row>
    <row r="44">
      <c r="A44" s="5" t="s">
        <v>85</v>
      </c>
      <c r="B44" s="4" t="s">
        <v>46</v>
      </c>
      <c r="C44" s="9">
        <v>18.333333333333332</v>
      </c>
      <c r="D44" s="9">
        <v>1.2959069696057897E18</v>
      </c>
      <c r="E44" s="9">
        <v>0.0012959069696057896</v>
      </c>
      <c r="F44" s="10">
        <v>13.699999999999998</v>
      </c>
      <c r="G44" s="9">
        <v>0.017753925483599314</v>
      </c>
      <c r="H44" s="9">
        <v>25.81588696</v>
      </c>
      <c r="I44" s="9">
        <v>0.45833333338086324</v>
      </c>
    </row>
    <row r="45">
      <c r="A45" s="5" t="s">
        <v>85</v>
      </c>
      <c r="B45" s="4" t="s">
        <v>48</v>
      </c>
      <c r="C45" s="9">
        <v>0.0</v>
      </c>
      <c r="D45" s="9">
        <v>0.0</v>
      </c>
      <c r="E45" s="9">
        <v>0.0</v>
      </c>
      <c r="F45" s="10">
        <v>0.9399999999999998</v>
      </c>
      <c r="G45" s="9">
        <v>0.0</v>
      </c>
      <c r="H45" s="9">
        <v>2.859521436</v>
      </c>
      <c r="I45" s="9">
        <v>0.0</v>
      </c>
    </row>
    <row r="46">
      <c r="A46" s="5" t="s">
        <v>85</v>
      </c>
      <c r="B46" s="4" t="s">
        <v>50</v>
      </c>
      <c r="C46" s="9">
        <v>0.0</v>
      </c>
      <c r="D46" s="9">
        <v>0.0</v>
      </c>
      <c r="E46" s="9">
        <v>0.0</v>
      </c>
      <c r="F46" s="10">
        <v>4.5</v>
      </c>
      <c r="G46" s="9">
        <v>0.0</v>
      </c>
      <c r="H46" s="9">
        <v>47.63335371</v>
      </c>
      <c r="I46" s="9">
        <v>0.0</v>
      </c>
    </row>
    <row r="47">
      <c r="A47" s="5" t="s">
        <v>85</v>
      </c>
      <c r="B47" s="4" t="s">
        <v>52</v>
      </c>
      <c r="C47" s="9">
        <v>24.0</v>
      </c>
      <c r="D47" s="9">
        <v>1.6964600329384883E18</v>
      </c>
      <c r="E47" s="9">
        <v>0.0016964600329384884</v>
      </c>
      <c r="F47" s="10">
        <v>5.209999999999999</v>
      </c>
      <c r="G47" s="9">
        <v>0.008838556771609524</v>
      </c>
      <c r="H47" s="9">
        <v>43.97783202</v>
      </c>
      <c r="I47" s="9">
        <v>0.38870056500107714</v>
      </c>
    </row>
    <row r="48">
      <c r="A48" s="5" t="s">
        <v>85</v>
      </c>
      <c r="B48" s="4" t="s">
        <v>56</v>
      </c>
      <c r="C48" s="9">
        <v>500.0</v>
      </c>
      <c r="D48" s="9">
        <v>3.534291735288517E19</v>
      </c>
      <c r="E48" s="9">
        <v>0.03534291735288517</v>
      </c>
      <c r="F48" s="10">
        <v>19.3</v>
      </c>
      <c r="G48" s="9">
        <v>0.6821183049106837</v>
      </c>
      <c r="H48" s="9">
        <v>75.81493114</v>
      </c>
      <c r="I48" s="9">
        <v>51.71475231613701</v>
      </c>
    </row>
    <row r="49">
      <c r="A49" s="5" t="s">
        <v>85</v>
      </c>
      <c r="B49" s="4" t="s">
        <v>60</v>
      </c>
      <c r="C49" s="9">
        <v>0.0</v>
      </c>
      <c r="D49" s="9">
        <v>0.0</v>
      </c>
      <c r="E49" s="9">
        <v>0.0</v>
      </c>
      <c r="F49" s="9">
        <v>4.8149999999999995</v>
      </c>
      <c r="G49" s="9">
        <v>0.0</v>
      </c>
      <c r="H49" s="9">
        <v>1065.070666154757</v>
      </c>
      <c r="I49" s="9">
        <v>0.0</v>
      </c>
    </row>
    <row r="50">
      <c r="A50" s="5" t="s">
        <v>85</v>
      </c>
      <c r="B50" s="4" t="s">
        <v>62</v>
      </c>
      <c r="C50" s="9">
        <v>0.0</v>
      </c>
      <c r="D50" s="9">
        <v>0.0</v>
      </c>
      <c r="E50" s="9">
        <v>0.0</v>
      </c>
      <c r="F50" s="9">
        <v>6.44</v>
      </c>
      <c r="G50" s="9">
        <v>0.0</v>
      </c>
      <c r="H50" s="9">
        <v>1008.6373963173792</v>
      </c>
      <c r="I50" s="9">
        <v>0.0</v>
      </c>
    </row>
    <row r="51">
      <c r="A51" s="5" t="s">
        <v>85</v>
      </c>
      <c r="B51" s="4" t="s">
        <v>64</v>
      </c>
      <c r="C51" s="9">
        <v>0.0</v>
      </c>
      <c r="D51" s="9">
        <v>0.0</v>
      </c>
      <c r="E51" s="9">
        <v>0.0</v>
      </c>
      <c r="F51" s="9">
        <v>7.685</v>
      </c>
      <c r="G51" s="9">
        <v>0.0</v>
      </c>
      <c r="H51" s="9">
        <v>1015.9485375966532</v>
      </c>
      <c r="I51" s="9">
        <v>0.0</v>
      </c>
    </row>
    <row r="52">
      <c r="A52" s="4" t="s">
        <v>86</v>
      </c>
      <c r="B52" s="4" t="s">
        <v>2</v>
      </c>
      <c r="C52" s="9">
        <v>0.0</v>
      </c>
      <c r="D52" s="9">
        <v>0.0</v>
      </c>
      <c r="E52" s="9">
        <v>0.0</v>
      </c>
      <c r="F52" s="10">
        <v>1.9999999999999998</v>
      </c>
      <c r="G52" s="9">
        <v>0.0</v>
      </c>
      <c r="H52" s="9">
        <v>254.6479089</v>
      </c>
      <c r="I52" s="9">
        <v>0.0</v>
      </c>
    </row>
    <row r="53">
      <c r="A53" s="4" t="s">
        <v>86</v>
      </c>
      <c r="B53" s="4" t="s">
        <v>4</v>
      </c>
      <c r="C53" s="9">
        <v>0.0</v>
      </c>
      <c r="D53" s="9">
        <v>0.0</v>
      </c>
      <c r="E53" s="9">
        <v>0.0</v>
      </c>
      <c r="F53" s="10">
        <v>2.7</v>
      </c>
      <c r="G53" s="9">
        <v>0.0</v>
      </c>
      <c r="H53" s="9">
        <v>10.72688123</v>
      </c>
      <c r="I53" s="9">
        <v>0.0</v>
      </c>
    </row>
    <row r="54">
      <c r="A54" s="4" t="s">
        <v>86</v>
      </c>
      <c r="B54" s="4" t="s">
        <v>6</v>
      </c>
      <c r="C54" s="9">
        <v>0.0</v>
      </c>
      <c r="D54" s="9">
        <v>0.0</v>
      </c>
      <c r="E54" s="9">
        <v>0.0</v>
      </c>
      <c r="F54" s="9">
        <v>2.78</v>
      </c>
      <c r="G54" s="9">
        <v>0.0</v>
      </c>
      <c r="H54" s="9">
        <v>8.408496924</v>
      </c>
      <c r="I54" s="9">
        <v>0.0</v>
      </c>
    </row>
    <row r="55">
      <c r="A55" s="4" t="s">
        <v>86</v>
      </c>
      <c r="B55" s="4" t="s">
        <v>12</v>
      </c>
      <c r="C55" s="9">
        <v>2.0</v>
      </c>
      <c r="D55" s="9">
        <v>1.4137166941154069E17</v>
      </c>
      <c r="E55" s="9">
        <v>1.4137166941154068E-4</v>
      </c>
      <c r="F55" s="10">
        <v>8.9</v>
      </c>
      <c r="G55" s="9">
        <v>0.001258207857762712</v>
      </c>
      <c r="H55" s="9">
        <v>44.5000451259104</v>
      </c>
      <c r="I55" s="9">
        <v>0.05599030644821574</v>
      </c>
    </row>
    <row r="56">
      <c r="A56" s="4" t="s">
        <v>86</v>
      </c>
      <c r="B56" s="4" t="s">
        <v>74</v>
      </c>
      <c r="C56" s="9">
        <v>0.0</v>
      </c>
      <c r="D56" s="9">
        <v>0.0</v>
      </c>
      <c r="E56" s="9">
        <v>0.0</v>
      </c>
      <c r="F56" s="10">
        <v>2.2</v>
      </c>
      <c r="G56" s="9">
        <v>0.0</v>
      </c>
      <c r="H56" s="9">
        <v>13.98634348</v>
      </c>
      <c r="I56" s="9">
        <v>0.0</v>
      </c>
    </row>
    <row r="57">
      <c r="A57" s="4" t="s">
        <v>86</v>
      </c>
      <c r="B57" s="4" t="s">
        <v>75</v>
      </c>
      <c r="C57" s="9">
        <v>340.0</v>
      </c>
      <c r="D57" s="9">
        <v>2.403318379996192E19</v>
      </c>
      <c r="E57" s="9">
        <v>0.02403318379996192</v>
      </c>
      <c r="F57" s="10">
        <v>8.959999999999999</v>
      </c>
      <c r="G57" s="9">
        <v>0.21533732684765877</v>
      </c>
      <c r="H57" s="9">
        <v>6.090112618</v>
      </c>
      <c r="I57" s="9">
        <v>1.311428571361317</v>
      </c>
    </row>
    <row r="58">
      <c r="A58" s="4" t="s">
        <v>86</v>
      </c>
      <c r="B58" s="4" t="s">
        <v>82</v>
      </c>
      <c r="C58" s="9">
        <v>0.0</v>
      </c>
      <c r="D58" s="9">
        <v>0.0</v>
      </c>
      <c r="E58" s="9">
        <v>0.0</v>
      </c>
      <c r="F58" s="9">
        <v>9.69</v>
      </c>
      <c r="G58" s="9">
        <v>0.0</v>
      </c>
      <c r="H58" s="9">
        <v>24.90282413547882</v>
      </c>
      <c r="I58" s="9">
        <v>0.0</v>
      </c>
    </row>
    <row r="59">
      <c r="A59" s="4" t="s">
        <v>86</v>
      </c>
      <c r="B59" s="4" t="s">
        <v>22</v>
      </c>
      <c r="C59" s="9">
        <v>0.0</v>
      </c>
      <c r="D59" s="9">
        <v>0.0</v>
      </c>
      <c r="E59" s="9">
        <v>0.0</v>
      </c>
      <c r="F59" s="9">
        <v>18.63</v>
      </c>
      <c r="G59" s="9">
        <v>0.0</v>
      </c>
      <c r="H59" s="9">
        <v>19053.34</v>
      </c>
      <c r="I59" s="9">
        <v>0.0</v>
      </c>
    </row>
    <row r="60">
      <c r="A60" s="4" t="s">
        <v>86</v>
      </c>
      <c r="B60" s="4" t="s">
        <v>84</v>
      </c>
      <c r="C60" s="9">
        <v>0.0</v>
      </c>
      <c r="D60" s="9">
        <v>0.0</v>
      </c>
      <c r="E60" s="9">
        <v>0.0</v>
      </c>
      <c r="F60" s="10">
        <v>2.33</v>
      </c>
      <c r="G60" s="9">
        <v>0.0</v>
      </c>
      <c r="H60" s="9">
        <v>4.130951538</v>
      </c>
      <c r="I60" s="9">
        <v>0.0</v>
      </c>
    </row>
    <row r="61">
      <c r="A61" s="4" t="s">
        <v>86</v>
      </c>
      <c r="B61" s="4" t="s">
        <v>28</v>
      </c>
      <c r="C61" s="9">
        <v>1000.0</v>
      </c>
      <c r="D61" s="9">
        <v>7.068583470577034E19</v>
      </c>
      <c r="E61" s="9">
        <v>0.07068583470577033</v>
      </c>
      <c r="F61" s="10">
        <v>0.9659999999999999</v>
      </c>
      <c r="G61" s="9">
        <v>0.06828251632577413</v>
      </c>
      <c r="H61" s="9">
        <v>4.2</v>
      </c>
      <c r="I61" s="9">
        <v>0.28678656856825135</v>
      </c>
    </row>
    <row r="62">
      <c r="A62" s="4" t="s">
        <v>86</v>
      </c>
      <c r="B62" s="4" t="s">
        <v>30</v>
      </c>
      <c r="C62" s="9">
        <v>0.0</v>
      </c>
      <c r="D62" s="9">
        <v>0.0</v>
      </c>
      <c r="E62" s="9">
        <v>0.0</v>
      </c>
      <c r="F62" s="10">
        <v>2.29</v>
      </c>
      <c r="G62" s="9">
        <v>0.0</v>
      </c>
      <c r="H62" s="9">
        <v>308.8887784</v>
      </c>
      <c r="I62" s="9">
        <v>0.0</v>
      </c>
    </row>
    <row r="63">
      <c r="A63" s="4" t="s">
        <v>86</v>
      </c>
      <c r="B63" s="4" t="s">
        <v>32</v>
      </c>
      <c r="C63" s="9">
        <v>0.0</v>
      </c>
      <c r="D63" s="9">
        <v>0.0</v>
      </c>
      <c r="E63" s="9">
        <v>0.0</v>
      </c>
      <c r="F63" s="10">
        <v>3.3299999999999996</v>
      </c>
      <c r="G63" s="9">
        <v>0.0</v>
      </c>
      <c r="H63" s="9">
        <v>67.97408314</v>
      </c>
      <c r="I63" s="9">
        <v>0.0</v>
      </c>
    </row>
    <row r="64">
      <c r="A64" s="4" t="s">
        <v>86</v>
      </c>
      <c r="B64" s="4" t="s">
        <v>36</v>
      </c>
      <c r="C64" s="9">
        <v>0.0</v>
      </c>
      <c r="D64" s="9">
        <v>0.0</v>
      </c>
      <c r="E64" s="9">
        <v>0.0</v>
      </c>
      <c r="F64" s="10">
        <v>3.17</v>
      </c>
      <c r="G64" s="9">
        <v>0.0</v>
      </c>
      <c r="H64" s="9">
        <v>64.5720543</v>
      </c>
      <c r="I64" s="9">
        <v>0.0</v>
      </c>
    </row>
    <row r="65">
      <c r="A65" s="4" t="s">
        <v>86</v>
      </c>
      <c r="B65" s="4" t="s">
        <v>38</v>
      </c>
      <c r="C65" s="9">
        <v>10.0</v>
      </c>
      <c r="D65" s="9">
        <v>7.068583470577034E17</v>
      </c>
      <c r="E65" s="9">
        <v>7.068583470577034E-4</v>
      </c>
      <c r="F65" s="10">
        <v>2.13</v>
      </c>
      <c r="G65" s="9">
        <v>0.0015056082792329081</v>
      </c>
      <c r="H65" s="9">
        <v>2.046463887</v>
      </c>
      <c r="I65" s="9">
        <v>0.003081172971418358</v>
      </c>
    </row>
    <row r="66">
      <c r="A66" s="4" t="s">
        <v>86</v>
      </c>
      <c r="B66" s="4" t="s">
        <v>40</v>
      </c>
      <c r="C66" s="9">
        <v>300.0</v>
      </c>
      <c r="D66" s="9">
        <v>2.1205750411731104E19</v>
      </c>
      <c r="E66" s="9">
        <v>0.021205750411731103</v>
      </c>
      <c r="F66" s="9">
        <v>2.0</v>
      </c>
      <c r="G66" s="9">
        <v>0.042411500823462206</v>
      </c>
      <c r="H66" s="9">
        <v>88.01299960362851</v>
      </c>
      <c r="I66" s="9">
        <v>3.7327634051646696</v>
      </c>
    </row>
    <row r="67">
      <c r="A67" s="4" t="s">
        <v>86</v>
      </c>
      <c r="B67" s="4" t="s">
        <v>42</v>
      </c>
      <c r="C67" s="9">
        <v>0.0</v>
      </c>
      <c r="D67" s="9">
        <v>0.0</v>
      </c>
      <c r="E67" s="9">
        <v>0.0</v>
      </c>
      <c r="F67" s="10">
        <v>2.81</v>
      </c>
      <c r="G67" s="9">
        <v>0.0</v>
      </c>
      <c r="H67" s="9">
        <v>37.87056387</v>
      </c>
      <c r="I67" s="9">
        <v>0.0</v>
      </c>
    </row>
    <row r="68">
      <c r="A68" s="4" t="s">
        <v>86</v>
      </c>
      <c r="B68" s="4" t="s">
        <v>44</v>
      </c>
      <c r="C68" s="9">
        <v>15.0</v>
      </c>
      <c r="D68" s="9">
        <v>1.0602875205865551E18</v>
      </c>
      <c r="E68" s="9">
        <v>0.0010602875205865552</v>
      </c>
      <c r="F68" s="9">
        <v>16.7</v>
      </c>
      <c r="G68" s="9">
        <v>0.017706801593795472</v>
      </c>
      <c r="H68" s="9">
        <v>170.8356</v>
      </c>
      <c r="I68" s="9">
        <v>3.0249520743570057</v>
      </c>
    </row>
    <row r="69">
      <c r="A69" s="4" t="s">
        <v>86</v>
      </c>
      <c r="B69" s="4" t="s">
        <v>46</v>
      </c>
      <c r="C69" s="9">
        <v>15.0</v>
      </c>
      <c r="D69" s="9">
        <v>1.0602875205865551E18</v>
      </c>
      <c r="E69" s="9">
        <v>0.0010602875205865552</v>
      </c>
      <c r="F69" s="10">
        <v>13.699999999999998</v>
      </c>
      <c r="G69" s="9">
        <v>0.014525939032035804</v>
      </c>
      <c r="H69" s="9">
        <v>25.81588696</v>
      </c>
      <c r="I69" s="9">
        <v>0.37500000003888817</v>
      </c>
    </row>
    <row r="70">
      <c r="A70" s="4" t="s">
        <v>86</v>
      </c>
      <c r="B70" s="4" t="s">
        <v>48</v>
      </c>
      <c r="C70" s="9">
        <v>0.0</v>
      </c>
      <c r="D70" s="9">
        <v>0.0</v>
      </c>
      <c r="E70" s="9">
        <v>0.0</v>
      </c>
      <c r="F70" s="10">
        <v>0.9399999999999998</v>
      </c>
      <c r="G70" s="9">
        <v>0.0</v>
      </c>
      <c r="H70" s="9">
        <v>2.859521436</v>
      </c>
      <c r="I70" s="9">
        <v>0.0</v>
      </c>
    </row>
    <row r="71">
      <c r="A71" s="4" t="s">
        <v>86</v>
      </c>
      <c r="B71" s="4" t="s">
        <v>50</v>
      </c>
      <c r="C71" s="9">
        <v>0.0</v>
      </c>
      <c r="D71" s="9">
        <v>0.0</v>
      </c>
      <c r="E71" s="9">
        <v>0.0</v>
      </c>
      <c r="F71" s="10">
        <v>4.5</v>
      </c>
      <c r="G71" s="9">
        <v>0.0</v>
      </c>
      <c r="H71" s="9">
        <v>47.63335371</v>
      </c>
      <c r="I71" s="9">
        <v>0.0</v>
      </c>
    </row>
    <row r="72">
      <c r="A72" s="4" t="s">
        <v>86</v>
      </c>
      <c r="B72" s="4" t="s">
        <v>52</v>
      </c>
      <c r="C72" s="9">
        <v>0.0</v>
      </c>
      <c r="D72" s="9">
        <v>0.0</v>
      </c>
      <c r="E72" s="9">
        <v>0.0</v>
      </c>
      <c r="F72" s="10">
        <v>5.209999999999999</v>
      </c>
      <c r="G72" s="9">
        <v>0.0</v>
      </c>
      <c r="H72" s="9">
        <v>43.97783202</v>
      </c>
      <c r="I72" s="9">
        <v>0.0</v>
      </c>
    </row>
    <row r="73">
      <c r="A73" s="4" t="s">
        <v>86</v>
      </c>
      <c r="B73" s="4" t="s">
        <v>56</v>
      </c>
      <c r="C73" s="9">
        <v>0.0</v>
      </c>
      <c r="D73" s="9">
        <v>0.0</v>
      </c>
      <c r="E73" s="9">
        <v>0.0</v>
      </c>
      <c r="F73" s="10">
        <v>19.3</v>
      </c>
      <c r="G73" s="9">
        <v>0.0</v>
      </c>
      <c r="H73" s="9">
        <v>75.81493114</v>
      </c>
      <c r="I73" s="9">
        <v>0.0</v>
      </c>
    </row>
    <row r="74">
      <c r="A74" s="4" t="s">
        <v>86</v>
      </c>
      <c r="B74" s="4" t="s">
        <v>58</v>
      </c>
      <c r="C74" s="11">
        <v>0.0</v>
      </c>
      <c r="D74" s="11" t="s">
        <v>77</v>
      </c>
      <c r="E74" s="11" t="s">
        <v>77</v>
      </c>
      <c r="F74" s="12" t="s">
        <v>77</v>
      </c>
      <c r="G74" s="11" t="s">
        <v>77</v>
      </c>
      <c r="H74" s="9">
        <v>365.3054</v>
      </c>
      <c r="I74" s="9">
        <v>51643.83424305064</v>
      </c>
    </row>
    <row r="75">
      <c r="A75" s="4" t="s">
        <v>86</v>
      </c>
      <c r="B75" s="4" t="s">
        <v>60</v>
      </c>
      <c r="C75" s="9">
        <v>0.0</v>
      </c>
      <c r="D75" s="9">
        <v>0.0</v>
      </c>
      <c r="E75" s="9">
        <v>0.0</v>
      </c>
      <c r="F75" s="9">
        <v>4.8149999999999995</v>
      </c>
      <c r="G75" s="9">
        <v>0.0</v>
      </c>
      <c r="H75" s="9">
        <v>1065.070666154757</v>
      </c>
      <c r="I75" s="9">
        <v>0.0</v>
      </c>
    </row>
    <row r="76">
      <c r="A76" s="4" t="s">
        <v>86</v>
      </c>
      <c r="B76" s="4" t="s">
        <v>62</v>
      </c>
      <c r="C76" s="9">
        <v>0.0</v>
      </c>
      <c r="D76" s="9">
        <v>0.0</v>
      </c>
      <c r="E76" s="9">
        <v>0.0</v>
      </c>
      <c r="F76" s="9">
        <v>6.44</v>
      </c>
      <c r="G76" s="9">
        <v>0.0</v>
      </c>
      <c r="H76" s="9">
        <v>1008.6373963173792</v>
      </c>
      <c r="I76" s="9">
        <v>0.0</v>
      </c>
    </row>
    <row r="77">
      <c r="A77" s="4" t="s">
        <v>86</v>
      </c>
      <c r="B77" s="4" t="s">
        <v>64</v>
      </c>
      <c r="C77" s="9">
        <v>0.0</v>
      </c>
      <c r="D77" s="9">
        <v>0.0</v>
      </c>
      <c r="E77" s="9">
        <v>0.0</v>
      </c>
      <c r="F77" s="9">
        <v>7.685</v>
      </c>
      <c r="G77" s="9">
        <v>0.0</v>
      </c>
      <c r="H77" s="9">
        <v>1015.9485375966532</v>
      </c>
      <c r="I77" s="9">
        <v>0.0</v>
      </c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 t="s">
        <v>78</v>
      </c>
      <c r="I79" s="9">
        <v>870.4780968921405</v>
      </c>
    </row>
    <row r="80">
      <c r="A80" s="4"/>
      <c r="B80" s="4"/>
      <c r="C80" s="4"/>
      <c r="D80" s="4"/>
      <c r="E80" s="4"/>
      <c r="F80" s="4"/>
      <c r="G80" s="4"/>
      <c r="H80" s="4" t="s">
        <v>79</v>
      </c>
      <c r="I8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58</v>
      </c>
      <c r="B1" s="6" t="s">
        <v>66</v>
      </c>
      <c r="C1" s="6" t="s">
        <v>81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80</v>
      </c>
      <c r="I1" s="6" t="s">
        <v>73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83</v>
      </c>
      <c r="B2" s="2" t="s">
        <v>2</v>
      </c>
      <c r="C2" s="2">
        <v>600.0</v>
      </c>
      <c r="D2" s="2">
        <v>4.241150082346221E19</v>
      </c>
      <c r="E2" s="2">
        <v>0.042411500823462206</v>
      </c>
      <c r="F2" s="7">
        <v>1.9999999999999998</v>
      </c>
      <c r="G2" s="2">
        <v>0.0848230016469244</v>
      </c>
      <c r="H2" s="2">
        <v>254.6479089</v>
      </c>
      <c r="I2" s="2">
        <v>21.599999996010556</v>
      </c>
    </row>
    <row r="3">
      <c r="A3" s="2" t="s">
        <v>83</v>
      </c>
      <c r="B3" s="2" t="s">
        <v>4</v>
      </c>
      <c r="C3" s="2">
        <v>4745.0</v>
      </c>
      <c r="D3" s="2">
        <v>3.354042856788803E20</v>
      </c>
      <c r="E3" s="2">
        <v>0.3354042856788803</v>
      </c>
      <c r="F3" s="7">
        <v>2.7</v>
      </c>
      <c r="G3" s="2">
        <v>0.9055915713329769</v>
      </c>
      <c r="H3" s="2">
        <v>10.72688123</v>
      </c>
      <c r="I3" s="2">
        <v>9.714173228577916</v>
      </c>
    </row>
    <row r="4">
      <c r="A4" s="2" t="s">
        <v>83</v>
      </c>
      <c r="B4" s="2" t="s">
        <v>6</v>
      </c>
      <c r="C4" s="2">
        <v>0.0</v>
      </c>
      <c r="D4" s="2">
        <v>0.0</v>
      </c>
      <c r="E4" s="2">
        <v>0.0</v>
      </c>
      <c r="F4" s="2">
        <v>2.78</v>
      </c>
      <c r="G4" s="2">
        <v>0.0</v>
      </c>
      <c r="H4" s="2">
        <v>8.408496924</v>
      </c>
      <c r="I4" s="2">
        <v>0.0</v>
      </c>
    </row>
    <row r="5">
      <c r="A5" s="2" t="s">
        <v>83</v>
      </c>
      <c r="B5" s="2" t="s">
        <v>12</v>
      </c>
      <c r="C5" s="2">
        <v>27.5</v>
      </c>
      <c r="D5" s="2">
        <v>1.9438604544086845E18</v>
      </c>
      <c r="E5" s="2">
        <v>0.0019438604544086845</v>
      </c>
      <c r="F5" s="7">
        <v>8.9</v>
      </c>
      <c r="G5" s="2">
        <v>0.017300358044237293</v>
      </c>
      <c r="H5" s="2">
        <v>44.5000451259104</v>
      </c>
      <c r="I5" s="2">
        <v>0.7698667136629664</v>
      </c>
    </row>
    <row r="6">
      <c r="A6" s="2" t="s">
        <v>83</v>
      </c>
      <c r="B6" s="2" t="s">
        <v>74</v>
      </c>
      <c r="C6" s="2">
        <v>1140.0</v>
      </c>
      <c r="D6" s="2">
        <v>8.05818515645782E19</v>
      </c>
      <c r="E6" s="2">
        <v>0.0805818515645782</v>
      </c>
      <c r="F6" s="7">
        <v>2.2</v>
      </c>
      <c r="G6" s="2">
        <v>0.17728007344207206</v>
      </c>
      <c r="H6" s="2">
        <v>13.98634348</v>
      </c>
      <c r="I6" s="2">
        <v>2.4794999993204456</v>
      </c>
    </row>
    <row r="7">
      <c r="A7" s="2" t="s">
        <v>83</v>
      </c>
      <c r="B7" s="2" t="s">
        <v>75</v>
      </c>
      <c r="C7" s="2">
        <v>550.0</v>
      </c>
      <c r="D7" s="2">
        <v>3.8877209088173695E19</v>
      </c>
      <c r="E7" s="2">
        <v>0.03887720908817369</v>
      </c>
      <c r="F7" s="7">
        <v>8.959999999999999</v>
      </c>
      <c r="G7" s="2">
        <v>0.34833979343003624</v>
      </c>
      <c r="H7" s="2">
        <v>6.090112618</v>
      </c>
      <c r="I7" s="2">
        <v>2.121428571319777</v>
      </c>
    </row>
    <row r="8">
      <c r="A8" s="2" t="s">
        <v>83</v>
      </c>
      <c r="B8" s="2" t="s">
        <v>82</v>
      </c>
      <c r="C8" s="2">
        <v>18.0</v>
      </c>
      <c r="D8" s="2">
        <v>1.272345024703866E18</v>
      </c>
      <c r="E8" s="2">
        <v>0.0012723450247038662</v>
      </c>
      <c r="F8" s="2">
        <v>9.69</v>
      </c>
      <c r="G8" s="2">
        <v>0.012329023289380462</v>
      </c>
      <c r="H8" s="2">
        <v>24.90282413547882</v>
      </c>
      <c r="I8" s="2">
        <v>0.3070274987376642</v>
      </c>
    </row>
    <row r="9">
      <c r="A9" s="2" t="s">
        <v>83</v>
      </c>
      <c r="B9" s="2" t="s">
        <v>20</v>
      </c>
      <c r="C9" s="2">
        <v>26.0</v>
      </c>
      <c r="D9" s="2">
        <v>1.837831702350029E18</v>
      </c>
      <c r="E9" s="2">
        <v>0.001837831702350029</v>
      </c>
      <c r="F9" s="2">
        <v>10.28</v>
      </c>
      <c r="G9" s="2">
        <v>0.018892909900158298</v>
      </c>
      <c r="H9" s="2">
        <v>16.41</v>
      </c>
      <c r="I9" s="2">
        <v>0.3100326514615977</v>
      </c>
    </row>
    <row r="10">
      <c r="A10" s="2" t="s">
        <v>83</v>
      </c>
      <c r="B10" s="2" t="s">
        <v>22</v>
      </c>
      <c r="C10" s="2">
        <v>0.0</v>
      </c>
      <c r="D10" s="2">
        <v>0.0</v>
      </c>
      <c r="E10" s="2">
        <v>0.0</v>
      </c>
      <c r="F10" s="2">
        <v>18.63</v>
      </c>
      <c r="G10" s="2">
        <v>0.0</v>
      </c>
      <c r="H10" s="2">
        <v>19053.34</v>
      </c>
      <c r="I10" s="2">
        <v>0.0</v>
      </c>
    </row>
    <row r="11">
      <c r="A11" s="2" t="s">
        <v>83</v>
      </c>
      <c r="B11" s="2" t="s">
        <v>84</v>
      </c>
      <c r="C11" s="2">
        <v>0.0</v>
      </c>
      <c r="D11" s="2">
        <v>0.0</v>
      </c>
      <c r="E11" s="2">
        <v>0.0</v>
      </c>
      <c r="F11" s="7">
        <v>2.33</v>
      </c>
      <c r="G11" s="2">
        <v>0.0</v>
      </c>
      <c r="H11" s="2">
        <v>4.130951538</v>
      </c>
      <c r="I11" s="2">
        <v>0.0</v>
      </c>
    </row>
    <row r="12">
      <c r="A12" s="2" t="s">
        <v>83</v>
      </c>
      <c r="B12" s="2" t="s">
        <v>28</v>
      </c>
      <c r="C12" s="2">
        <v>36130.0</v>
      </c>
      <c r="D12" s="2">
        <v>2.5538792079194823E21</v>
      </c>
      <c r="E12" s="2">
        <v>2.5538792079194823</v>
      </c>
      <c r="F12" s="7">
        <v>0.9659999999999999</v>
      </c>
      <c r="G12" s="2">
        <v>2.4670473148502197</v>
      </c>
      <c r="H12" s="2">
        <v>4.2</v>
      </c>
      <c r="I12" s="2">
        <v>10.361598722370923</v>
      </c>
    </row>
    <row r="13">
      <c r="A13" s="2" t="s">
        <v>83</v>
      </c>
      <c r="B13" s="2" t="s">
        <v>30</v>
      </c>
      <c r="C13" s="2">
        <v>55.0</v>
      </c>
      <c r="D13" s="2">
        <v>3.887720908817369E18</v>
      </c>
      <c r="E13" s="2">
        <v>0.003887720908817369</v>
      </c>
      <c r="F13" s="7">
        <v>2.29</v>
      </c>
      <c r="G13" s="2">
        <v>0.008902880881191774</v>
      </c>
      <c r="H13" s="2">
        <v>308.8887784</v>
      </c>
      <c r="I13" s="2">
        <v>2.7499999996320423</v>
      </c>
    </row>
    <row r="14">
      <c r="A14" s="2" t="s">
        <v>83</v>
      </c>
      <c r="B14" s="2" t="s">
        <v>32</v>
      </c>
      <c r="C14" s="2">
        <v>120.0</v>
      </c>
      <c r="D14" s="2">
        <v>8.482300164692441E18</v>
      </c>
      <c r="E14" s="2">
        <v>0.008482300164692442</v>
      </c>
      <c r="F14" s="7">
        <v>3.3299999999999996</v>
      </c>
      <c r="G14" s="2">
        <v>0.02824605954842583</v>
      </c>
      <c r="H14" s="2">
        <v>67.97408314</v>
      </c>
      <c r="I14" s="2">
        <v>1.9200000001220883</v>
      </c>
    </row>
    <row r="15">
      <c r="A15" s="2" t="s">
        <v>83</v>
      </c>
      <c r="B15" s="2" t="s">
        <v>36</v>
      </c>
      <c r="C15" s="2">
        <v>1154.0</v>
      </c>
      <c r="D15" s="2">
        <v>8.157145325045898E19</v>
      </c>
      <c r="E15" s="2">
        <v>0.08157145325045898</v>
      </c>
      <c r="F15" s="7">
        <v>3.17</v>
      </c>
      <c r="G15" s="2">
        <v>0.2585815068039549</v>
      </c>
      <c r="H15" s="2">
        <v>64.5720543</v>
      </c>
      <c r="I15" s="2">
        <v>16.697139098320797</v>
      </c>
    </row>
    <row r="16">
      <c r="A16" s="2" t="s">
        <v>83</v>
      </c>
      <c r="B16" s="2" t="s">
        <v>38</v>
      </c>
      <c r="C16" s="2">
        <v>10902.0</v>
      </c>
      <c r="D16" s="2">
        <v>7.706169699623082E20</v>
      </c>
      <c r="E16" s="2">
        <v>0.7706169699623082</v>
      </c>
      <c r="F16" s="7">
        <v>2.13</v>
      </c>
      <c r="G16" s="2">
        <v>1.6414141460197165</v>
      </c>
      <c r="H16" s="2">
        <v>2.046463887</v>
      </c>
      <c r="I16" s="2">
        <v>3.3590947734402943</v>
      </c>
    </row>
    <row r="17">
      <c r="A17" s="2" t="s">
        <v>83</v>
      </c>
      <c r="B17" s="2" t="s">
        <v>40</v>
      </c>
      <c r="C17" s="2">
        <v>882.0</v>
      </c>
      <c r="D17" s="2">
        <v>6.234490621048944E19</v>
      </c>
      <c r="E17" s="2">
        <v>0.062344906210489444</v>
      </c>
      <c r="F17" s="2">
        <v>2.0</v>
      </c>
      <c r="G17" s="2">
        <v>0.12468981242097889</v>
      </c>
      <c r="H17" s="2">
        <v>2.0</v>
      </c>
      <c r="I17" s="2">
        <v>0.24937962484195778</v>
      </c>
    </row>
    <row r="18">
      <c r="A18" s="2" t="s">
        <v>83</v>
      </c>
      <c r="B18" s="2" t="s">
        <v>42</v>
      </c>
      <c r="C18" s="2">
        <v>352.4</v>
      </c>
      <c r="D18" s="2">
        <v>2.4909688150313468E19</v>
      </c>
      <c r="E18" s="2">
        <v>0.02490968815031347</v>
      </c>
      <c r="F18" s="7">
        <v>2.81</v>
      </c>
      <c r="G18" s="2">
        <v>0.06999622370238084</v>
      </c>
      <c r="H18" s="2">
        <v>37.87056387</v>
      </c>
      <c r="I18" s="2">
        <v>2.6507964603798215</v>
      </c>
    </row>
    <row r="19">
      <c r="A19" s="2" t="s">
        <v>83</v>
      </c>
      <c r="B19" s="2" t="s">
        <v>44</v>
      </c>
      <c r="C19" s="2">
        <v>22.5</v>
      </c>
      <c r="D19" s="2">
        <v>1.5904312808798328E18</v>
      </c>
      <c r="E19" s="2">
        <v>0.0015904312808798329</v>
      </c>
      <c r="F19" s="2">
        <v>16.7</v>
      </c>
      <c r="G19" s="2">
        <v>0.02656020239069321</v>
      </c>
      <c r="H19" s="2">
        <v>170.8356</v>
      </c>
      <c r="I19" s="2">
        <v>4.537428111535509</v>
      </c>
    </row>
    <row r="20">
      <c r="A20" s="2" t="s">
        <v>83</v>
      </c>
      <c r="B20" s="2" t="s">
        <v>46</v>
      </c>
      <c r="C20" s="2">
        <v>22.5</v>
      </c>
      <c r="D20" s="2">
        <v>1.5904312808798328E18</v>
      </c>
      <c r="E20" s="2">
        <v>0.0015904312808798329</v>
      </c>
      <c r="F20" s="7">
        <v>13.699999999999998</v>
      </c>
      <c r="G20" s="2">
        <v>0.021788908548053706</v>
      </c>
      <c r="H20" s="2">
        <v>25.81588696</v>
      </c>
      <c r="I20" s="2">
        <v>0.5625000000583322</v>
      </c>
    </row>
    <row r="21">
      <c r="A21" s="2" t="s">
        <v>83</v>
      </c>
      <c r="B21" s="2" t="s">
        <v>48</v>
      </c>
      <c r="C21" s="2">
        <v>300.0</v>
      </c>
      <c r="D21" s="2">
        <v>2.1205750411731104E19</v>
      </c>
      <c r="E21" s="2">
        <v>0.021205750411731103</v>
      </c>
      <c r="F21" s="7">
        <v>0.9399999999999998</v>
      </c>
      <c r="G21" s="2">
        <v>0.019933405387027234</v>
      </c>
      <c r="H21" s="2">
        <v>2.859521436</v>
      </c>
      <c r="I21" s="2">
        <v>0.05699999999668225</v>
      </c>
    </row>
    <row r="22">
      <c r="A22" s="2" t="s">
        <v>83</v>
      </c>
      <c r="B22" s="2" t="s">
        <v>50</v>
      </c>
      <c r="C22" s="2">
        <v>12.5</v>
      </c>
      <c r="D22" s="2">
        <v>8.835729338221294E17</v>
      </c>
      <c r="E22" s="2">
        <v>8.835729338221294E-4</v>
      </c>
      <c r="F22" s="7">
        <v>4.5</v>
      </c>
      <c r="G22" s="2">
        <v>0.003976078202199583</v>
      </c>
      <c r="H22" s="2">
        <v>47.63335371</v>
      </c>
      <c r="I22" s="2">
        <v>0.18939393938399363</v>
      </c>
    </row>
    <row r="23">
      <c r="A23" s="2" t="s">
        <v>83</v>
      </c>
      <c r="B23" s="2" t="s">
        <v>52</v>
      </c>
      <c r="C23" s="2">
        <v>94.0</v>
      </c>
      <c r="D23" s="2">
        <v>6.644468462342413E18</v>
      </c>
      <c r="E23" s="2">
        <v>0.006644468462342413</v>
      </c>
      <c r="F23" s="7">
        <v>5.209999999999999</v>
      </c>
      <c r="G23" s="2">
        <v>0.03461768068880397</v>
      </c>
      <c r="H23" s="2">
        <v>43.97783202</v>
      </c>
      <c r="I23" s="2">
        <v>1.522410546254219</v>
      </c>
    </row>
    <row r="24">
      <c r="A24" s="2" t="s">
        <v>83</v>
      </c>
      <c r="B24" s="2" t="s">
        <v>56</v>
      </c>
      <c r="C24" s="2">
        <v>332.0</v>
      </c>
      <c r="D24" s="2">
        <v>2.3467697122315756E19</v>
      </c>
      <c r="E24" s="2">
        <v>0.023467697122315754</v>
      </c>
      <c r="F24" s="7">
        <v>19.3</v>
      </c>
      <c r="G24" s="2">
        <v>0.4529265544606941</v>
      </c>
      <c r="H24" s="2">
        <v>75.81493114</v>
      </c>
      <c r="I24" s="2">
        <v>34.33859553791498</v>
      </c>
    </row>
    <row r="25">
      <c r="A25" s="2" t="s">
        <v>83</v>
      </c>
      <c r="B25" s="2" t="s">
        <v>60</v>
      </c>
      <c r="C25" s="2">
        <v>2.4</v>
      </c>
      <c r="D25" s="2">
        <v>1.6964600329384883E17</v>
      </c>
      <c r="E25" s="2">
        <v>1.6964600329384883E-4</v>
      </c>
      <c r="F25" s="2">
        <v>4.8149999999999995</v>
      </c>
      <c r="G25" s="2">
        <v>8.16845505859882E-4</v>
      </c>
      <c r="H25" s="2">
        <v>1065.070666154757</v>
      </c>
      <c r="I25" s="2">
        <v>0.869998187071704</v>
      </c>
    </row>
    <row r="26">
      <c r="A26" s="2" t="s">
        <v>83</v>
      </c>
      <c r="B26" s="2" t="s">
        <v>62</v>
      </c>
      <c r="C26" s="2">
        <v>1.6</v>
      </c>
      <c r="D26" s="2">
        <v>1.1309733552923256E17</v>
      </c>
      <c r="E26" s="2">
        <v>1.1309733552923256E-4</v>
      </c>
      <c r="F26" s="2">
        <v>6.44</v>
      </c>
      <c r="G26" s="2">
        <v>7.283468408082577E-4</v>
      </c>
      <c r="H26" s="2">
        <v>1008.6373963173792</v>
      </c>
      <c r="I26" s="2">
        <v>0.7346378611288297</v>
      </c>
    </row>
    <row r="27">
      <c r="A27" s="2" t="s">
        <v>83</v>
      </c>
      <c r="B27" s="2" t="s">
        <v>64</v>
      </c>
      <c r="C27" s="2">
        <v>1.6</v>
      </c>
      <c r="D27" s="2">
        <v>1.1309733552923256E17</v>
      </c>
      <c r="E27" s="2">
        <v>1.1309733552923256E-4</v>
      </c>
      <c r="F27" s="2">
        <v>7.685</v>
      </c>
      <c r="G27" s="2">
        <v>8.691530235421522E-4</v>
      </c>
      <c r="H27" s="2">
        <v>1015.9485375966532</v>
      </c>
      <c r="I27" s="2">
        <v>0.883014743215359</v>
      </c>
    </row>
    <row r="28">
      <c r="A28" s="3" t="s">
        <v>85</v>
      </c>
      <c r="B28" s="2" t="s">
        <v>2</v>
      </c>
      <c r="C28" s="2">
        <v>0.0</v>
      </c>
      <c r="D28" s="2">
        <v>0.0</v>
      </c>
      <c r="E28" s="2">
        <v>0.0</v>
      </c>
      <c r="F28" s="7">
        <v>1.9999999999999998</v>
      </c>
      <c r="G28" s="2">
        <v>0.0</v>
      </c>
      <c r="H28" s="2">
        <v>254.6479089</v>
      </c>
      <c r="I28" s="2">
        <v>0.0</v>
      </c>
    </row>
    <row r="29">
      <c r="A29" s="3" t="s">
        <v>85</v>
      </c>
      <c r="B29" s="2" t="s">
        <v>4</v>
      </c>
      <c r="C29" s="2">
        <v>0.0</v>
      </c>
      <c r="D29" s="2">
        <v>0.0</v>
      </c>
      <c r="E29" s="2">
        <v>0.0</v>
      </c>
      <c r="F29" s="7">
        <v>2.7</v>
      </c>
      <c r="G29" s="2">
        <v>0.0</v>
      </c>
      <c r="H29" s="2">
        <v>10.72688123</v>
      </c>
      <c r="I29" s="2">
        <v>0.0</v>
      </c>
    </row>
    <row r="30">
      <c r="A30" s="3" t="s">
        <v>85</v>
      </c>
      <c r="B30" s="2" t="s">
        <v>6</v>
      </c>
      <c r="C30" s="2">
        <v>0.0</v>
      </c>
      <c r="D30" s="2">
        <v>0.0</v>
      </c>
      <c r="E30" s="2">
        <v>0.0</v>
      </c>
      <c r="F30" s="2">
        <v>2.78</v>
      </c>
      <c r="G30" s="2">
        <v>0.0</v>
      </c>
      <c r="H30" s="2">
        <v>8.408496924</v>
      </c>
      <c r="I30" s="2">
        <v>0.0</v>
      </c>
    </row>
    <row r="31">
      <c r="A31" s="3" t="s">
        <v>85</v>
      </c>
      <c r="B31" s="2" t="s">
        <v>12</v>
      </c>
      <c r="C31" s="2">
        <v>0.0</v>
      </c>
      <c r="D31" s="2">
        <v>0.0</v>
      </c>
      <c r="E31" s="2">
        <v>0.0</v>
      </c>
      <c r="F31" s="7">
        <v>8.9</v>
      </c>
      <c r="G31" s="2">
        <v>0.0</v>
      </c>
      <c r="H31" s="2">
        <v>44.5000451259104</v>
      </c>
      <c r="I31" s="2">
        <v>0.0</v>
      </c>
    </row>
    <row r="32">
      <c r="A32" s="3" t="s">
        <v>85</v>
      </c>
      <c r="B32" s="2" t="s">
        <v>74</v>
      </c>
      <c r="C32" s="2">
        <v>0.0</v>
      </c>
      <c r="D32" s="2">
        <v>0.0</v>
      </c>
      <c r="E32" s="2">
        <v>0.0</v>
      </c>
      <c r="F32" s="7">
        <v>2.2</v>
      </c>
      <c r="G32" s="2">
        <v>0.0</v>
      </c>
      <c r="H32" s="2">
        <v>13.98634348</v>
      </c>
      <c r="I32" s="2">
        <v>0.0</v>
      </c>
    </row>
    <row r="33">
      <c r="A33" s="3" t="s">
        <v>85</v>
      </c>
      <c r="B33" s="2" t="s">
        <v>75</v>
      </c>
      <c r="C33" s="2">
        <v>2068.333333333333</v>
      </c>
      <c r="D33" s="2">
        <v>1.4620186811643498E20</v>
      </c>
      <c r="E33" s="2">
        <v>0.14620186811643499</v>
      </c>
      <c r="F33" s="7">
        <v>8.959999999999999</v>
      </c>
      <c r="G33" s="2">
        <v>1.3099687383232574</v>
      </c>
      <c r="H33" s="2">
        <v>6.090112618</v>
      </c>
      <c r="I33" s="2">
        <v>7.97785714244801</v>
      </c>
    </row>
    <row r="34">
      <c r="A34" s="3" t="s">
        <v>85</v>
      </c>
      <c r="B34" s="2" t="s">
        <v>82</v>
      </c>
      <c r="C34" s="2">
        <v>0.0</v>
      </c>
      <c r="D34" s="2">
        <v>0.0</v>
      </c>
      <c r="E34" s="2">
        <v>0.0</v>
      </c>
      <c r="F34" s="2">
        <v>9.69</v>
      </c>
      <c r="G34" s="2">
        <v>0.0</v>
      </c>
      <c r="H34" s="2">
        <v>24.90282413547882</v>
      </c>
      <c r="I34" s="2">
        <v>0.0</v>
      </c>
    </row>
    <row r="35">
      <c r="A35" s="3" t="s">
        <v>85</v>
      </c>
      <c r="B35" s="2" t="s">
        <v>22</v>
      </c>
      <c r="C35" s="2">
        <v>26.0</v>
      </c>
      <c r="D35" s="2">
        <v>1.837831702350029E18</v>
      </c>
      <c r="E35" s="2">
        <v>0.001837831702350029</v>
      </c>
      <c r="F35" s="2">
        <v>18.63</v>
      </c>
      <c r="G35" s="2">
        <v>0.03423880461478104</v>
      </c>
      <c r="H35" s="2">
        <v>19053.34</v>
      </c>
      <c r="I35" s="2">
        <v>652.3635855189923</v>
      </c>
    </row>
    <row r="36">
      <c r="A36" s="3" t="s">
        <v>85</v>
      </c>
      <c r="B36" s="2" t="s">
        <v>84</v>
      </c>
      <c r="C36" s="2">
        <v>130.0</v>
      </c>
      <c r="D36" s="2">
        <v>9.189158511750144E18</v>
      </c>
      <c r="E36" s="2">
        <v>0.009189158511750143</v>
      </c>
      <c r="F36" s="7">
        <v>2.33</v>
      </c>
      <c r="G36" s="2">
        <v>0.021410739332377835</v>
      </c>
      <c r="H36" s="2">
        <v>4.130951538</v>
      </c>
      <c r="I36" s="2">
        <v>0.0884467265748033</v>
      </c>
    </row>
    <row r="37">
      <c r="A37" s="3" t="s">
        <v>85</v>
      </c>
      <c r="B37" s="2" t="s">
        <v>28</v>
      </c>
      <c r="C37" s="2">
        <v>21500.0</v>
      </c>
      <c r="D37" s="2">
        <v>1.5197454461740623E21</v>
      </c>
      <c r="E37" s="2">
        <v>1.5197454461740623</v>
      </c>
      <c r="F37" s="7">
        <v>0.9659999999999999</v>
      </c>
      <c r="G37" s="2">
        <v>1.468074101004144</v>
      </c>
      <c r="H37" s="2">
        <v>4.2</v>
      </c>
      <c r="I37" s="2">
        <v>6.165911224217405</v>
      </c>
    </row>
    <row r="38">
      <c r="A38" s="3" t="s">
        <v>85</v>
      </c>
      <c r="B38" s="2" t="s">
        <v>30</v>
      </c>
      <c r="C38" s="2">
        <v>0.0</v>
      </c>
      <c r="D38" s="2">
        <v>0.0</v>
      </c>
      <c r="E38" s="2">
        <v>0.0</v>
      </c>
      <c r="F38" s="7">
        <v>2.29</v>
      </c>
      <c r="G38" s="2">
        <v>0.0</v>
      </c>
      <c r="H38" s="2">
        <v>308.8887784</v>
      </c>
      <c r="I38" s="2">
        <v>0.0</v>
      </c>
    </row>
    <row r="39">
      <c r="A39" s="3" t="s">
        <v>85</v>
      </c>
      <c r="B39" s="2" t="s">
        <v>32</v>
      </c>
      <c r="C39" s="2">
        <v>123.0</v>
      </c>
      <c r="D39" s="2">
        <v>8.694357668809753E18</v>
      </c>
      <c r="E39" s="2">
        <v>0.008694357668809752</v>
      </c>
      <c r="F39" s="7">
        <v>3.3299999999999996</v>
      </c>
      <c r="G39" s="2">
        <v>0.028952211037136473</v>
      </c>
      <c r="H39" s="2">
        <v>67.97408314</v>
      </c>
      <c r="I39" s="2">
        <v>1.9680000001251403</v>
      </c>
    </row>
    <row r="40">
      <c r="A40" s="3" t="s">
        <v>85</v>
      </c>
      <c r="B40" s="2" t="s">
        <v>36</v>
      </c>
      <c r="C40" s="2">
        <v>244.0</v>
      </c>
      <c r="D40" s="2">
        <v>1.7247343668207964E19</v>
      </c>
      <c r="E40" s="2">
        <v>0.017247343668207963</v>
      </c>
      <c r="F40" s="7">
        <v>3.17</v>
      </c>
      <c r="G40" s="2">
        <v>0.05467407942821924</v>
      </c>
      <c r="H40" s="2">
        <v>64.5720543</v>
      </c>
      <c r="I40" s="2">
        <v>3.530417625641486</v>
      </c>
    </row>
    <row r="41">
      <c r="A41" s="3" t="s">
        <v>85</v>
      </c>
      <c r="B41" s="2" t="s">
        <v>38</v>
      </c>
      <c r="C41" s="2">
        <v>3809.0</v>
      </c>
      <c r="D41" s="2">
        <v>2.6924234439427922E20</v>
      </c>
      <c r="E41" s="2">
        <v>0.26924234439427924</v>
      </c>
      <c r="F41" s="7">
        <v>2.13</v>
      </c>
      <c r="G41" s="2">
        <v>0.5734861935598148</v>
      </c>
      <c r="H41" s="2">
        <v>2.046463887</v>
      </c>
      <c r="I41" s="2">
        <v>1.1736187848132529</v>
      </c>
    </row>
    <row r="42">
      <c r="A42" s="3" t="s">
        <v>85</v>
      </c>
      <c r="B42" s="2" t="s">
        <v>40</v>
      </c>
      <c r="C42" s="2">
        <v>0.0</v>
      </c>
      <c r="D42" s="2">
        <v>0.0</v>
      </c>
      <c r="E42" s="2">
        <v>0.0</v>
      </c>
      <c r="F42" s="2">
        <v>2.0</v>
      </c>
      <c r="G42" s="2">
        <v>0.0</v>
      </c>
      <c r="H42" s="2">
        <v>2.0</v>
      </c>
      <c r="I42" s="2">
        <v>0.0</v>
      </c>
    </row>
    <row r="43">
      <c r="A43" s="3" t="s">
        <v>85</v>
      </c>
      <c r="B43" s="2" t="s">
        <v>42</v>
      </c>
      <c r="C43" s="2">
        <v>9.6</v>
      </c>
      <c r="D43" s="2">
        <v>6.785840131753953E17</v>
      </c>
      <c r="E43" s="2">
        <v>6.785840131753953E-4</v>
      </c>
      <c r="F43" s="7">
        <v>2.81</v>
      </c>
      <c r="G43" s="2">
        <v>0.001906821077022861</v>
      </c>
      <c r="H43" s="2">
        <v>37.87056387</v>
      </c>
      <c r="I43" s="2">
        <v>0.07221238938605644</v>
      </c>
    </row>
    <row r="44">
      <c r="A44" s="3" t="s">
        <v>85</v>
      </c>
      <c r="B44" s="2" t="s">
        <v>44</v>
      </c>
      <c r="C44" s="2">
        <v>18.333333333333332</v>
      </c>
      <c r="D44" s="2">
        <v>1.2959069696057897E18</v>
      </c>
      <c r="E44" s="2">
        <v>0.0012959069696057896</v>
      </c>
      <c r="F44" s="2">
        <v>16.7</v>
      </c>
      <c r="G44" s="2">
        <v>0.021641646392416686</v>
      </c>
      <c r="H44" s="2">
        <v>170.8356</v>
      </c>
      <c r="I44" s="2">
        <v>3.69716364643634</v>
      </c>
    </row>
    <row r="45">
      <c r="A45" s="3" t="s">
        <v>85</v>
      </c>
      <c r="B45" s="2" t="s">
        <v>46</v>
      </c>
      <c r="C45" s="2">
        <v>18.333333333333332</v>
      </c>
      <c r="D45" s="2">
        <v>1.2959069696057897E18</v>
      </c>
      <c r="E45" s="2">
        <v>0.0012959069696057896</v>
      </c>
      <c r="F45" s="7">
        <v>13.699999999999998</v>
      </c>
      <c r="G45" s="2">
        <v>0.017753925483599314</v>
      </c>
      <c r="H45" s="2">
        <v>25.81588696</v>
      </c>
      <c r="I45" s="2">
        <v>0.45833333338086324</v>
      </c>
    </row>
    <row r="46">
      <c r="A46" s="3" t="s">
        <v>85</v>
      </c>
      <c r="B46" s="2" t="s">
        <v>48</v>
      </c>
      <c r="C46" s="2">
        <v>0.0</v>
      </c>
      <c r="D46" s="2">
        <v>0.0</v>
      </c>
      <c r="E46" s="2">
        <v>0.0</v>
      </c>
      <c r="F46" s="7">
        <v>0.9399999999999998</v>
      </c>
      <c r="G46" s="2">
        <v>0.0</v>
      </c>
      <c r="H46" s="2">
        <v>2.859521436</v>
      </c>
      <c r="I46" s="2">
        <v>0.0</v>
      </c>
    </row>
    <row r="47">
      <c r="A47" s="3" t="s">
        <v>85</v>
      </c>
      <c r="B47" s="2" t="s">
        <v>50</v>
      </c>
      <c r="C47" s="2">
        <v>0.0</v>
      </c>
      <c r="D47" s="2">
        <v>0.0</v>
      </c>
      <c r="E47" s="2">
        <v>0.0</v>
      </c>
      <c r="F47" s="7">
        <v>4.5</v>
      </c>
      <c r="G47" s="2">
        <v>0.0</v>
      </c>
      <c r="H47" s="2">
        <v>47.63335371</v>
      </c>
      <c r="I47" s="2">
        <v>0.0</v>
      </c>
    </row>
    <row r="48">
      <c r="A48" s="3" t="s">
        <v>85</v>
      </c>
      <c r="B48" s="2" t="s">
        <v>52</v>
      </c>
      <c r="C48" s="2">
        <v>24.0</v>
      </c>
      <c r="D48" s="2">
        <v>1.6964600329384883E18</v>
      </c>
      <c r="E48" s="2">
        <v>0.0016964600329384884</v>
      </c>
      <c r="F48" s="7">
        <v>5.209999999999999</v>
      </c>
      <c r="G48" s="2">
        <v>0.008838556771609524</v>
      </c>
      <c r="H48" s="2">
        <v>43.97783202</v>
      </c>
      <c r="I48" s="2">
        <v>0.38870056500107714</v>
      </c>
    </row>
    <row r="49">
      <c r="A49" s="3" t="s">
        <v>85</v>
      </c>
      <c r="B49" s="2" t="s">
        <v>56</v>
      </c>
      <c r="C49" s="2">
        <v>500.0</v>
      </c>
      <c r="D49" s="2">
        <v>3.534291735288517E19</v>
      </c>
      <c r="E49" s="2">
        <v>0.03534291735288517</v>
      </c>
      <c r="F49" s="7">
        <v>19.3</v>
      </c>
      <c r="G49" s="2">
        <v>0.6821183049106837</v>
      </c>
      <c r="H49" s="2">
        <v>75.81493114</v>
      </c>
      <c r="I49" s="2">
        <v>51.71475231613701</v>
      </c>
    </row>
    <row r="50">
      <c r="A50" s="3" t="s">
        <v>85</v>
      </c>
      <c r="B50" s="2" t="s">
        <v>60</v>
      </c>
      <c r="C50" s="2">
        <v>0.0</v>
      </c>
      <c r="D50" s="2">
        <v>0.0</v>
      </c>
      <c r="E50" s="2">
        <v>0.0</v>
      </c>
      <c r="F50" s="2">
        <v>4.8149999999999995</v>
      </c>
      <c r="G50" s="2">
        <v>0.0</v>
      </c>
      <c r="H50" s="2">
        <v>1065.070666154757</v>
      </c>
      <c r="I50" s="2">
        <v>0.0</v>
      </c>
    </row>
    <row r="51">
      <c r="A51" s="3" t="s">
        <v>85</v>
      </c>
      <c r="B51" s="2" t="s">
        <v>62</v>
      </c>
      <c r="C51" s="2">
        <v>0.0</v>
      </c>
      <c r="D51" s="2">
        <v>0.0</v>
      </c>
      <c r="E51" s="2">
        <v>0.0</v>
      </c>
      <c r="F51" s="2">
        <v>6.44</v>
      </c>
      <c r="G51" s="2">
        <v>0.0</v>
      </c>
      <c r="H51" s="2">
        <v>1008.6373963173792</v>
      </c>
      <c r="I51" s="2">
        <v>0.0</v>
      </c>
    </row>
    <row r="52">
      <c r="A52" s="3" t="s">
        <v>85</v>
      </c>
      <c r="B52" s="2" t="s">
        <v>64</v>
      </c>
      <c r="C52" s="2">
        <v>0.0</v>
      </c>
      <c r="D52" s="2">
        <v>0.0</v>
      </c>
      <c r="E52" s="2">
        <v>0.0</v>
      </c>
      <c r="F52" s="2">
        <v>7.685</v>
      </c>
      <c r="G52" s="2">
        <v>0.0</v>
      </c>
      <c r="H52" s="2">
        <v>1015.9485375966532</v>
      </c>
      <c r="I52" s="2">
        <v>0.0</v>
      </c>
    </row>
    <row r="53">
      <c r="A53" s="2" t="s">
        <v>86</v>
      </c>
      <c r="B53" s="2" t="s">
        <v>2</v>
      </c>
      <c r="C53" s="2">
        <v>0.0</v>
      </c>
      <c r="D53" s="2">
        <v>0.0</v>
      </c>
      <c r="E53" s="2">
        <v>0.0</v>
      </c>
      <c r="F53" s="7">
        <v>1.9999999999999998</v>
      </c>
      <c r="G53" s="2">
        <v>0.0</v>
      </c>
      <c r="H53" s="2">
        <v>254.6479089</v>
      </c>
      <c r="I53" s="2">
        <v>0.0</v>
      </c>
    </row>
    <row r="54">
      <c r="A54" s="2" t="s">
        <v>86</v>
      </c>
      <c r="B54" s="2" t="s">
        <v>4</v>
      </c>
      <c r="C54" s="2">
        <v>0.0</v>
      </c>
      <c r="D54" s="2">
        <v>0.0</v>
      </c>
      <c r="E54" s="2">
        <v>0.0</v>
      </c>
      <c r="F54" s="7">
        <v>2.7</v>
      </c>
      <c r="G54" s="2">
        <v>0.0</v>
      </c>
      <c r="H54" s="2">
        <v>10.72688123</v>
      </c>
      <c r="I54" s="2">
        <v>0.0</v>
      </c>
    </row>
    <row r="55">
      <c r="A55" s="2" t="s">
        <v>86</v>
      </c>
      <c r="B55" s="2" t="s">
        <v>6</v>
      </c>
      <c r="C55" s="2">
        <v>0.0</v>
      </c>
      <c r="D55" s="2">
        <v>0.0</v>
      </c>
      <c r="E55" s="2">
        <v>0.0</v>
      </c>
      <c r="F55" s="2">
        <v>2.78</v>
      </c>
      <c r="G55" s="2">
        <v>0.0</v>
      </c>
      <c r="H55" s="2">
        <v>8.408496924</v>
      </c>
      <c r="I55" s="2">
        <v>0.0</v>
      </c>
    </row>
    <row r="56">
      <c r="A56" s="2" t="s">
        <v>86</v>
      </c>
      <c r="B56" s="2" t="s">
        <v>12</v>
      </c>
      <c r="C56" s="2">
        <v>2.0</v>
      </c>
      <c r="D56" s="2">
        <v>1.4137166941154069E17</v>
      </c>
      <c r="E56" s="2">
        <v>1.4137166941154068E-4</v>
      </c>
      <c r="F56" s="7">
        <v>8.9</v>
      </c>
      <c r="G56" s="2">
        <v>0.001258207857762712</v>
      </c>
      <c r="H56" s="2">
        <v>44.5000451259104</v>
      </c>
      <c r="I56" s="2">
        <v>0.05599030644821574</v>
      </c>
    </row>
    <row r="57">
      <c r="A57" s="2" t="s">
        <v>86</v>
      </c>
      <c r="B57" s="2" t="s">
        <v>74</v>
      </c>
      <c r="C57" s="2">
        <v>0.0</v>
      </c>
      <c r="D57" s="2">
        <v>0.0</v>
      </c>
      <c r="E57" s="2">
        <v>0.0</v>
      </c>
      <c r="F57" s="7">
        <v>2.2</v>
      </c>
      <c r="G57" s="2">
        <v>0.0</v>
      </c>
      <c r="H57" s="2">
        <v>13.98634348</v>
      </c>
      <c r="I57" s="2">
        <v>0.0</v>
      </c>
    </row>
    <row r="58">
      <c r="A58" s="2" t="s">
        <v>86</v>
      </c>
      <c r="B58" s="2" t="s">
        <v>75</v>
      </c>
      <c r="C58" s="2">
        <v>340.0</v>
      </c>
      <c r="D58" s="2">
        <v>2.403318379996192E19</v>
      </c>
      <c r="E58" s="2">
        <v>0.02403318379996192</v>
      </c>
      <c r="F58" s="7">
        <v>8.959999999999999</v>
      </c>
      <c r="G58" s="2">
        <v>0.21533732684765877</v>
      </c>
      <c r="H58" s="2">
        <v>6.090112618</v>
      </c>
      <c r="I58" s="2">
        <v>1.311428571361317</v>
      </c>
    </row>
    <row r="59">
      <c r="A59" s="2" t="s">
        <v>86</v>
      </c>
      <c r="B59" s="2" t="s">
        <v>82</v>
      </c>
      <c r="C59" s="2">
        <v>0.0</v>
      </c>
      <c r="D59" s="2">
        <v>0.0</v>
      </c>
      <c r="E59" s="2">
        <v>0.0</v>
      </c>
      <c r="F59" s="2">
        <v>9.69</v>
      </c>
      <c r="G59" s="2">
        <v>0.0</v>
      </c>
      <c r="H59" s="2">
        <v>24.90282413547882</v>
      </c>
      <c r="I59" s="2">
        <v>0.0</v>
      </c>
    </row>
    <row r="60">
      <c r="A60" s="2" t="s">
        <v>86</v>
      </c>
      <c r="B60" s="2" t="s">
        <v>22</v>
      </c>
      <c r="C60" s="2">
        <v>0.0</v>
      </c>
      <c r="D60" s="2">
        <v>0.0</v>
      </c>
      <c r="E60" s="2">
        <v>0.0</v>
      </c>
      <c r="F60" s="2">
        <v>18.63</v>
      </c>
      <c r="G60" s="2">
        <v>0.0</v>
      </c>
      <c r="H60" s="2">
        <v>19053.34</v>
      </c>
      <c r="I60" s="2">
        <v>0.0</v>
      </c>
    </row>
    <row r="61">
      <c r="A61" s="2" t="s">
        <v>86</v>
      </c>
      <c r="B61" s="2" t="s">
        <v>84</v>
      </c>
      <c r="C61" s="2">
        <v>0.0</v>
      </c>
      <c r="D61" s="2">
        <v>0.0</v>
      </c>
      <c r="E61" s="2">
        <v>0.0</v>
      </c>
      <c r="F61" s="7">
        <v>2.33</v>
      </c>
      <c r="G61" s="2">
        <v>0.0</v>
      </c>
      <c r="H61" s="2">
        <v>4.130951538</v>
      </c>
      <c r="I61" s="2">
        <v>0.0</v>
      </c>
    </row>
    <row r="62">
      <c r="A62" s="2" t="s">
        <v>86</v>
      </c>
      <c r="B62" s="2" t="s">
        <v>28</v>
      </c>
      <c r="C62" s="2">
        <v>1000.0</v>
      </c>
      <c r="D62" s="2">
        <v>7.068583470577034E19</v>
      </c>
      <c r="E62" s="2">
        <v>0.07068583470577033</v>
      </c>
      <c r="F62" s="7">
        <v>0.9659999999999999</v>
      </c>
      <c r="G62" s="2">
        <v>0.06828251632577413</v>
      </c>
      <c r="H62" s="2">
        <v>4.2</v>
      </c>
      <c r="I62" s="2">
        <v>0.28678656856825135</v>
      </c>
    </row>
    <row r="63">
      <c r="A63" s="2" t="s">
        <v>86</v>
      </c>
      <c r="B63" s="2" t="s">
        <v>30</v>
      </c>
      <c r="C63" s="2">
        <v>0.0</v>
      </c>
      <c r="D63" s="2">
        <v>0.0</v>
      </c>
      <c r="E63" s="2">
        <v>0.0</v>
      </c>
      <c r="F63" s="7">
        <v>2.29</v>
      </c>
      <c r="G63" s="2">
        <v>0.0</v>
      </c>
      <c r="H63" s="2">
        <v>308.8887784</v>
      </c>
      <c r="I63" s="2">
        <v>0.0</v>
      </c>
    </row>
    <row r="64">
      <c r="A64" s="2" t="s">
        <v>86</v>
      </c>
      <c r="B64" s="2" t="s">
        <v>32</v>
      </c>
      <c r="C64" s="2">
        <v>0.0</v>
      </c>
      <c r="D64" s="2">
        <v>0.0</v>
      </c>
      <c r="E64" s="2">
        <v>0.0</v>
      </c>
      <c r="F64" s="7">
        <v>3.3299999999999996</v>
      </c>
      <c r="G64" s="2">
        <v>0.0</v>
      </c>
      <c r="H64" s="2">
        <v>67.97408314</v>
      </c>
      <c r="I64" s="2">
        <v>0.0</v>
      </c>
    </row>
    <row r="65">
      <c r="A65" s="2" t="s">
        <v>86</v>
      </c>
      <c r="B65" s="2" t="s">
        <v>36</v>
      </c>
      <c r="C65" s="2">
        <v>0.0</v>
      </c>
      <c r="D65" s="2">
        <v>0.0</v>
      </c>
      <c r="E65" s="2">
        <v>0.0</v>
      </c>
      <c r="F65" s="7">
        <v>3.17</v>
      </c>
      <c r="G65" s="2">
        <v>0.0</v>
      </c>
      <c r="H65" s="2">
        <v>64.5720543</v>
      </c>
      <c r="I65" s="2">
        <v>0.0</v>
      </c>
    </row>
    <row r="66">
      <c r="A66" s="2" t="s">
        <v>86</v>
      </c>
      <c r="B66" s="2" t="s">
        <v>38</v>
      </c>
      <c r="C66" s="2">
        <v>10.0</v>
      </c>
      <c r="D66" s="2">
        <v>7.068583470577034E17</v>
      </c>
      <c r="E66" s="2">
        <v>7.068583470577034E-4</v>
      </c>
      <c r="F66" s="7">
        <v>2.13</v>
      </c>
      <c r="G66" s="2">
        <v>0.0015056082792329081</v>
      </c>
      <c r="H66" s="2">
        <v>2.046463887</v>
      </c>
      <c r="I66" s="2">
        <v>0.003081172971418358</v>
      </c>
    </row>
    <row r="67">
      <c r="A67" s="2" t="s">
        <v>86</v>
      </c>
      <c r="B67" s="2" t="s">
        <v>40</v>
      </c>
      <c r="C67" s="2">
        <v>300.0</v>
      </c>
      <c r="D67" s="2">
        <v>2.1205750411731104E19</v>
      </c>
      <c r="E67" s="2">
        <v>0.021205750411731103</v>
      </c>
      <c r="F67" s="2">
        <v>2.0</v>
      </c>
      <c r="G67" s="2">
        <v>0.042411500823462206</v>
      </c>
      <c r="H67" s="2">
        <v>2.0</v>
      </c>
      <c r="I67" s="2">
        <v>0.08482300164692441</v>
      </c>
    </row>
    <row r="68">
      <c r="A68" s="2" t="s">
        <v>86</v>
      </c>
      <c r="B68" s="2" t="s">
        <v>42</v>
      </c>
      <c r="C68" s="2">
        <v>0.0</v>
      </c>
      <c r="D68" s="2">
        <v>0.0</v>
      </c>
      <c r="E68" s="2">
        <v>0.0</v>
      </c>
      <c r="F68" s="7">
        <v>2.81</v>
      </c>
      <c r="G68" s="2">
        <v>0.0</v>
      </c>
      <c r="H68" s="2">
        <v>37.87056387</v>
      </c>
      <c r="I68" s="2">
        <v>0.0</v>
      </c>
    </row>
    <row r="69">
      <c r="A69" s="2" t="s">
        <v>86</v>
      </c>
      <c r="B69" s="2" t="s">
        <v>44</v>
      </c>
      <c r="C69" s="2">
        <v>15.0</v>
      </c>
      <c r="D69" s="2">
        <v>1.0602875205865551E18</v>
      </c>
      <c r="E69" s="2">
        <v>0.0010602875205865552</v>
      </c>
      <c r="F69" s="2">
        <v>16.7</v>
      </c>
      <c r="G69" s="2">
        <v>0.017706801593795472</v>
      </c>
      <c r="H69" s="2">
        <v>170.8356</v>
      </c>
      <c r="I69" s="2">
        <v>3.0249520743570057</v>
      </c>
    </row>
    <row r="70">
      <c r="A70" s="2" t="s">
        <v>86</v>
      </c>
      <c r="B70" s="2" t="s">
        <v>46</v>
      </c>
      <c r="C70" s="2">
        <v>15.0</v>
      </c>
      <c r="D70" s="2">
        <v>1.0602875205865551E18</v>
      </c>
      <c r="E70" s="2">
        <v>0.0010602875205865552</v>
      </c>
      <c r="F70" s="7">
        <v>13.699999999999998</v>
      </c>
      <c r="G70" s="2">
        <v>0.014525939032035804</v>
      </c>
      <c r="H70" s="2">
        <v>25.81588696</v>
      </c>
      <c r="I70" s="2">
        <v>0.37500000003888817</v>
      </c>
    </row>
    <row r="71">
      <c r="A71" s="2" t="s">
        <v>86</v>
      </c>
      <c r="B71" s="2" t="s">
        <v>48</v>
      </c>
      <c r="C71" s="2">
        <v>0.0</v>
      </c>
      <c r="D71" s="2">
        <v>0.0</v>
      </c>
      <c r="E71" s="2">
        <v>0.0</v>
      </c>
      <c r="F71" s="7">
        <v>0.9399999999999998</v>
      </c>
      <c r="G71" s="2">
        <v>0.0</v>
      </c>
      <c r="H71" s="2">
        <v>2.859521436</v>
      </c>
      <c r="I71" s="2">
        <v>0.0</v>
      </c>
    </row>
    <row r="72">
      <c r="A72" s="2" t="s">
        <v>86</v>
      </c>
      <c r="B72" s="2" t="s">
        <v>50</v>
      </c>
      <c r="C72" s="2">
        <v>0.0</v>
      </c>
      <c r="D72" s="2">
        <v>0.0</v>
      </c>
      <c r="E72" s="2">
        <v>0.0</v>
      </c>
      <c r="F72" s="7">
        <v>4.5</v>
      </c>
      <c r="G72" s="2">
        <v>0.0</v>
      </c>
      <c r="H72" s="2">
        <v>47.63335371</v>
      </c>
      <c r="I72" s="2">
        <v>0.0</v>
      </c>
    </row>
    <row r="73">
      <c r="A73" s="2" t="s">
        <v>86</v>
      </c>
      <c r="B73" s="2" t="s">
        <v>52</v>
      </c>
      <c r="C73" s="2">
        <v>0.0</v>
      </c>
      <c r="D73" s="2">
        <v>0.0</v>
      </c>
      <c r="E73" s="2">
        <v>0.0</v>
      </c>
      <c r="F73" s="7">
        <v>5.209999999999999</v>
      </c>
      <c r="G73" s="2">
        <v>0.0</v>
      </c>
      <c r="H73" s="2">
        <v>43.97783202</v>
      </c>
      <c r="I73" s="2">
        <v>0.0</v>
      </c>
    </row>
    <row r="74">
      <c r="A74" s="2" t="s">
        <v>86</v>
      </c>
      <c r="B74" s="2" t="s">
        <v>56</v>
      </c>
      <c r="C74" s="2">
        <v>0.0</v>
      </c>
      <c r="D74" s="2">
        <v>0.0</v>
      </c>
      <c r="E74" s="2">
        <v>0.0</v>
      </c>
      <c r="F74" s="7">
        <v>19.3</v>
      </c>
      <c r="G74" s="2">
        <v>0.0</v>
      </c>
      <c r="H74" s="2">
        <v>75.81493114</v>
      </c>
      <c r="I74" s="2">
        <v>0.0</v>
      </c>
    </row>
    <row r="75">
      <c r="A75" s="2" t="s">
        <v>86</v>
      </c>
      <c r="B75" s="2" t="s">
        <v>58</v>
      </c>
      <c r="C75" s="2">
        <v>0.0</v>
      </c>
      <c r="F75" s="7" t="s">
        <v>77</v>
      </c>
      <c r="H75" s="2">
        <v>365.3054</v>
      </c>
      <c r="I75" s="2">
        <v>51643.83424305064</v>
      </c>
    </row>
    <row r="76">
      <c r="A76" s="2" t="s">
        <v>86</v>
      </c>
      <c r="B76" s="2" t="s">
        <v>60</v>
      </c>
      <c r="C76" s="2">
        <v>0.0</v>
      </c>
      <c r="D76" s="2">
        <v>0.0</v>
      </c>
      <c r="E76" s="2">
        <v>0.0</v>
      </c>
      <c r="F76" s="2">
        <v>4.8149999999999995</v>
      </c>
      <c r="G76" s="2">
        <v>0.0</v>
      </c>
      <c r="H76" s="2">
        <v>1065.070666154757</v>
      </c>
      <c r="I76" s="2">
        <v>0.0</v>
      </c>
    </row>
    <row r="77">
      <c r="A77" s="2" t="s">
        <v>86</v>
      </c>
      <c r="B77" s="2" t="s">
        <v>62</v>
      </c>
      <c r="C77" s="2">
        <v>0.0</v>
      </c>
      <c r="D77" s="2">
        <v>0.0</v>
      </c>
      <c r="E77" s="2">
        <v>0.0</v>
      </c>
      <c r="F77" s="2">
        <v>6.44</v>
      </c>
      <c r="G77" s="2">
        <v>0.0</v>
      </c>
      <c r="H77" s="2">
        <v>1008.6373963173792</v>
      </c>
      <c r="I77" s="2">
        <v>0.0</v>
      </c>
    </row>
    <row r="78">
      <c r="A78" s="2" t="s">
        <v>86</v>
      </c>
      <c r="B78" s="2" t="s">
        <v>64</v>
      </c>
      <c r="C78" s="2">
        <v>0.0</v>
      </c>
      <c r="D78" s="2">
        <v>0.0</v>
      </c>
      <c r="E78" s="2">
        <v>0.0</v>
      </c>
      <c r="F78" s="2">
        <v>7.685</v>
      </c>
      <c r="G78" s="2">
        <v>0.0</v>
      </c>
      <c r="H78" s="2">
        <v>1015.9485375966532</v>
      </c>
      <c r="I78" s="2">
        <v>0.0</v>
      </c>
    </row>
    <row r="80">
      <c r="H80" s="4" t="s">
        <v>78</v>
      </c>
      <c r="I80" s="2">
        <v>853.7260772333029</v>
      </c>
    </row>
    <row r="81">
      <c r="H81" s="4" t="s">
        <v>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58</v>
      </c>
      <c r="B1" s="2" t="s">
        <v>66</v>
      </c>
      <c r="C1" s="2" t="s">
        <v>81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80</v>
      </c>
      <c r="I1" s="2" t="s">
        <v>73</v>
      </c>
    </row>
    <row r="2">
      <c r="A2" s="2" t="s">
        <v>83</v>
      </c>
      <c r="B2" s="2" t="s">
        <v>4</v>
      </c>
      <c r="C2" s="2">
        <v>4745.0</v>
      </c>
      <c r="D2" s="2">
        <v>3.354042856788803E20</v>
      </c>
      <c r="E2" s="2">
        <v>0.3354042856788803</v>
      </c>
      <c r="F2" s="7">
        <v>2.7</v>
      </c>
      <c r="G2" s="2">
        <v>0.9055915713329769</v>
      </c>
      <c r="H2" s="2">
        <v>10.72688123</v>
      </c>
      <c r="I2" s="2">
        <v>9.714173228577916</v>
      </c>
    </row>
    <row r="3">
      <c r="A3" s="2" t="s">
        <v>83</v>
      </c>
      <c r="B3" s="2" t="s">
        <v>8</v>
      </c>
      <c r="C3" s="2">
        <v>3250.0</v>
      </c>
      <c r="D3" s="2">
        <v>2.2972896279375364E20</v>
      </c>
      <c r="E3" s="2">
        <v>0.22972896279375363</v>
      </c>
      <c r="F3" s="2">
        <v>2.3</v>
      </c>
      <c r="G3" s="2">
        <v>0.5283766144256333</v>
      </c>
      <c r="H3" s="2">
        <v>308.8887784</v>
      </c>
      <c r="I3" s="2">
        <v>163.20960696506168</v>
      </c>
    </row>
    <row r="4">
      <c r="A4" s="2" t="s">
        <v>83</v>
      </c>
      <c r="B4" s="2" t="s">
        <v>87</v>
      </c>
      <c r="C4" s="2">
        <v>6000.0</v>
      </c>
      <c r="D4" s="2">
        <v>4.241150082346221E20</v>
      </c>
      <c r="E4" s="2">
        <v>0.4241150082346221</v>
      </c>
      <c r="F4" s="7">
        <v>2.2</v>
      </c>
      <c r="G4" s="2">
        <v>0.9330530181161687</v>
      </c>
      <c r="H4" s="2">
        <v>13.98634348</v>
      </c>
      <c r="I4" s="2">
        <v>13.049999996423399</v>
      </c>
    </row>
    <row r="5">
      <c r="A5" s="2" t="s">
        <v>83</v>
      </c>
      <c r="B5" s="2" t="s">
        <v>12</v>
      </c>
      <c r="C5" s="2">
        <v>7.5</v>
      </c>
      <c r="D5" s="2">
        <v>5.301437602932776E17</v>
      </c>
      <c r="E5" s="2">
        <v>5.301437602932776E-4</v>
      </c>
      <c r="F5" s="2">
        <v>8.9</v>
      </c>
      <c r="G5" s="2">
        <v>0.004718279466610171</v>
      </c>
      <c r="H5" s="2">
        <v>44.5000451259104</v>
      </c>
      <c r="I5" s="2">
        <v>0.20996364918080906</v>
      </c>
    </row>
    <row r="6">
      <c r="A6" s="2" t="s">
        <v>83</v>
      </c>
      <c r="B6" s="2" t="s">
        <v>75</v>
      </c>
      <c r="C6" s="2">
        <v>550.0</v>
      </c>
      <c r="D6" s="2">
        <v>3.8877209088173695E19</v>
      </c>
      <c r="E6" s="2">
        <v>0.03887720908817369</v>
      </c>
      <c r="F6" s="2">
        <v>8.96</v>
      </c>
      <c r="G6" s="2">
        <v>0.34833979343003635</v>
      </c>
      <c r="H6" s="2">
        <v>6.090112618</v>
      </c>
      <c r="I6" s="2">
        <v>2.121428571319778</v>
      </c>
    </row>
    <row r="7">
      <c r="A7" s="2" t="s">
        <v>83</v>
      </c>
      <c r="B7" s="2" t="s">
        <v>88</v>
      </c>
      <c r="C7" s="2">
        <v>110.0</v>
      </c>
      <c r="D7" s="2">
        <v>7.775441817634738E18</v>
      </c>
      <c r="E7" s="2">
        <v>0.007775441817634738</v>
      </c>
      <c r="F7" s="2">
        <v>9.69</v>
      </c>
      <c r="G7" s="2">
        <v>0.07534403121288061</v>
      </c>
      <c r="H7" s="2">
        <v>24.90282413547882</v>
      </c>
      <c r="I7" s="2">
        <v>1.8762791589523928</v>
      </c>
    </row>
    <row r="8">
      <c r="A8" s="2" t="s">
        <v>83</v>
      </c>
      <c r="B8" s="2" t="s">
        <v>26</v>
      </c>
      <c r="C8" s="2">
        <v>5.0</v>
      </c>
      <c r="D8" s="2">
        <v>3.534291735288517E17</v>
      </c>
      <c r="E8" s="2">
        <v>3.534291735288517E-4</v>
      </c>
      <c r="F8" s="2">
        <v>2.5</v>
      </c>
      <c r="G8" s="2">
        <v>8.835729338221292E-4</v>
      </c>
      <c r="H8" s="2">
        <v>43.91595571186206</v>
      </c>
      <c r="I8" s="2">
        <v>0.038802949829932654</v>
      </c>
    </row>
    <row r="9">
      <c r="A9" s="2" t="s">
        <v>83</v>
      </c>
      <c r="B9" s="2" t="s">
        <v>28</v>
      </c>
      <c r="C9" s="2">
        <v>39500.0</v>
      </c>
      <c r="D9" s="2">
        <v>2.792090470877929E21</v>
      </c>
      <c r="E9" s="2">
        <v>2.792090470877929</v>
      </c>
      <c r="F9" s="2">
        <v>0.97</v>
      </c>
      <c r="G9" s="2">
        <v>2.7083277567515913</v>
      </c>
      <c r="H9" s="2">
        <v>4.2</v>
      </c>
      <c r="I9" s="2">
        <v>11.374976578356684</v>
      </c>
    </row>
    <row r="10">
      <c r="A10" s="2" t="s">
        <v>83</v>
      </c>
      <c r="B10" s="2" t="s">
        <v>32</v>
      </c>
      <c r="C10" s="2">
        <v>120.0</v>
      </c>
      <c r="D10" s="2">
        <v>8.482300164692441E18</v>
      </c>
      <c r="E10" s="2">
        <v>0.008482300164692442</v>
      </c>
      <c r="F10" s="2">
        <v>3.33</v>
      </c>
      <c r="G10" s="2">
        <v>0.028246059548425833</v>
      </c>
      <c r="H10" s="2">
        <v>67.97408314</v>
      </c>
      <c r="I10" s="2">
        <v>1.9200000001220885</v>
      </c>
    </row>
    <row r="11">
      <c r="A11" s="2" t="s">
        <v>83</v>
      </c>
      <c r="B11" s="2" t="s">
        <v>34</v>
      </c>
      <c r="C11" s="2">
        <v>640.0</v>
      </c>
      <c r="D11" s="2">
        <v>4.523893421169302E19</v>
      </c>
      <c r="E11" s="2">
        <v>0.04523893421169302</v>
      </c>
      <c r="F11" s="2">
        <v>3.0</v>
      </c>
      <c r="G11" s="2">
        <v>0.13571680263507907</v>
      </c>
      <c r="H11" s="2">
        <v>410.5865887312666</v>
      </c>
      <c r="I11" s="2">
        <v>55.72349902745169</v>
      </c>
    </row>
    <row r="12">
      <c r="A12" s="2" t="s">
        <v>83</v>
      </c>
      <c r="B12" s="2" t="s">
        <v>36</v>
      </c>
      <c r="C12" s="2">
        <v>956.0</v>
      </c>
      <c r="D12" s="2">
        <v>6.757565797871645E19</v>
      </c>
      <c r="E12" s="2">
        <v>0.06757565797871645</v>
      </c>
      <c r="F12" s="2">
        <v>3.17</v>
      </c>
      <c r="G12" s="2">
        <v>0.21421483579253114</v>
      </c>
      <c r="H12" s="2">
        <v>64.5720543</v>
      </c>
      <c r="I12" s="2">
        <v>13.832292008660906</v>
      </c>
    </row>
    <row r="13">
      <c r="A13" s="2" t="s">
        <v>83</v>
      </c>
      <c r="B13" s="2" t="s">
        <v>38</v>
      </c>
      <c r="C13" s="2">
        <v>8963.0</v>
      </c>
      <c r="D13" s="2">
        <v>6.335571364678196E20</v>
      </c>
      <c r="E13" s="2">
        <v>0.6335571364678196</v>
      </c>
      <c r="F13" s="2">
        <v>2.13</v>
      </c>
      <c r="G13" s="2">
        <v>1.3494767006764559</v>
      </c>
      <c r="H13" s="2">
        <v>2.046463887</v>
      </c>
      <c r="I13" s="2">
        <v>2.761655334282275</v>
      </c>
    </row>
    <row r="14">
      <c r="A14" s="2" t="s">
        <v>83</v>
      </c>
      <c r="B14" s="2" t="s">
        <v>40</v>
      </c>
      <c r="C14" s="2">
        <v>882.0</v>
      </c>
      <c r="D14" s="2">
        <v>6.234490621048944E19</v>
      </c>
      <c r="E14" s="2">
        <v>0.062344906210489444</v>
      </c>
      <c r="F14" s="2">
        <v>2.0</v>
      </c>
      <c r="G14" s="2">
        <v>0.12468981242097889</v>
      </c>
      <c r="H14" s="2">
        <v>88.01299960362851</v>
      </c>
      <c r="I14" s="2">
        <v>10.97432441118413</v>
      </c>
    </row>
    <row r="15">
      <c r="A15" s="2" t="s">
        <v>83</v>
      </c>
      <c r="B15" s="2" t="s">
        <v>42</v>
      </c>
      <c r="C15" s="2">
        <v>20.0</v>
      </c>
      <c r="D15" s="2">
        <v>1.4137166941154068E18</v>
      </c>
      <c r="E15" s="2">
        <v>0.0014137166941154068</v>
      </c>
      <c r="F15" s="2">
        <v>2.81</v>
      </c>
      <c r="G15" s="2">
        <v>0.003972543910464294</v>
      </c>
      <c r="H15" s="2">
        <v>37.87056387</v>
      </c>
      <c r="I15" s="2">
        <v>0.15044247788761758</v>
      </c>
    </row>
    <row r="16">
      <c r="A16" s="2" t="s">
        <v>83</v>
      </c>
      <c r="B16" s="2" t="s">
        <v>44</v>
      </c>
      <c r="C16" s="2">
        <v>45.0</v>
      </c>
      <c r="D16" s="2">
        <v>3.1808625617596657E18</v>
      </c>
      <c r="E16" s="2">
        <v>0.0031808625617596657</v>
      </c>
      <c r="F16" s="2">
        <v>16.7</v>
      </c>
      <c r="G16" s="2">
        <v>0.05312040478138642</v>
      </c>
      <c r="H16" s="2">
        <v>170.8356</v>
      </c>
      <c r="I16" s="2">
        <v>9.074856223071018</v>
      </c>
    </row>
    <row r="17">
      <c r="A17" s="2" t="s">
        <v>83</v>
      </c>
      <c r="B17" s="2" t="s">
        <v>46</v>
      </c>
      <c r="C17" s="2">
        <v>45.0</v>
      </c>
      <c r="D17" s="2">
        <v>3.1808625617596657E18</v>
      </c>
      <c r="E17" s="2">
        <v>0.0031808625617596657</v>
      </c>
      <c r="F17" s="2">
        <v>13.7</v>
      </c>
      <c r="G17" s="2">
        <v>0.04357781709610742</v>
      </c>
      <c r="H17" s="2">
        <v>25.77095916240464</v>
      </c>
      <c r="I17" s="2">
        <v>1.123042144770523</v>
      </c>
    </row>
    <row r="18">
      <c r="A18" s="2" t="s">
        <v>83</v>
      </c>
      <c r="B18" s="2" t="s">
        <v>50</v>
      </c>
      <c r="C18" s="2">
        <v>25.0</v>
      </c>
      <c r="D18" s="2">
        <v>1.7671458676442588E18</v>
      </c>
      <c r="E18" s="2">
        <v>0.0017671458676442589</v>
      </c>
      <c r="F18" s="2">
        <v>4.5</v>
      </c>
      <c r="G18" s="2">
        <v>0.007952156404399165</v>
      </c>
      <c r="H18" s="2">
        <v>47.63335371</v>
      </c>
      <c r="I18" s="2">
        <v>0.37878787876798725</v>
      </c>
    </row>
    <row r="19">
      <c r="A19" s="2" t="s">
        <v>83</v>
      </c>
      <c r="B19" s="2" t="s">
        <v>52</v>
      </c>
      <c r="C19" s="2">
        <v>183.0</v>
      </c>
      <c r="D19" s="2">
        <v>1.2935507751155972E19</v>
      </c>
      <c r="E19" s="2">
        <v>0.012935507751155971</v>
      </c>
      <c r="F19" s="2">
        <v>5.21</v>
      </c>
      <c r="G19" s="2">
        <v>0.06739399538352261</v>
      </c>
      <c r="H19" s="2">
        <v>43.97783202</v>
      </c>
      <c r="I19" s="2">
        <v>2.963841808133213</v>
      </c>
    </row>
    <row r="20">
      <c r="A20" s="2" t="s">
        <v>83</v>
      </c>
      <c r="B20" s="2" t="s">
        <v>54</v>
      </c>
      <c r="C20" s="2">
        <v>10.0</v>
      </c>
      <c r="D20" s="2">
        <v>7.068583470577034E17</v>
      </c>
      <c r="E20" s="2">
        <v>7.068583470577034E-4</v>
      </c>
      <c r="F20" s="2">
        <v>2.936666666666666</v>
      </c>
      <c r="G20" s="2">
        <v>0.0020758073458594555</v>
      </c>
      <c r="H20" s="2">
        <v>48.313196183993405</v>
      </c>
      <c r="I20" s="2">
        <v>0.10028888754068252</v>
      </c>
    </row>
    <row r="21">
      <c r="A21" s="2" t="s">
        <v>83</v>
      </c>
      <c r="B21" s="2" t="s">
        <v>56</v>
      </c>
      <c r="C21" s="2">
        <v>370.0</v>
      </c>
      <c r="D21" s="2">
        <v>2.6153758841135026E19</v>
      </c>
      <c r="E21" s="2">
        <v>0.026153758841135025</v>
      </c>
      <c r="F21" s="2">
        <v>19.3</v>
      </c>
      <c r="G21" s="2">
        <v>0.504767545633906</v>
      </c>
      <c r="H21" s="2">
        <v>75.81493114</v>
      </c>
      <c r="I21" s="2">
        <v>38.268916713941394</v>
      </c>
    </row>
    <row r="22">
      <c r="A22" s="3" t="s">
        <v>85</v>
      </c>
      <c r="B22" s="2" t="s">
        <v>2</v>
      </c>
      <c r="C22" s="2">
        <v>0.0</v>
      </c>
      <c r="D22" s="2">
        <v>0.0</v>
      </c>
      <c r="E22" s="2">
        <v>0.0</v>
      </c>
      <c r="F22" s="7">
        <v>1.9999999999999998</v>
      </c>
      <c r="G22" s="2">
        <v>0.0</v>
      </c>
      <c r="H22" s="2">
        <v>254.6479089</v>
      </c>
      <c r="I22" s="2">
        <v>0.0</v>
      </c>
    </row>
    <row r="23">
      <c r="A23" s="3" t="s">
        <v>85</v>
      </c>
      <c r="B23" s="2" t="s">
        <v>4</v>
      </c>
      <c r="C23" s="2">
        <v>0.0</v>
      </c>
      <c r="D23" s="2">
        <v>0.0</v>
      </c>
      <c r="E23" s="2">
        <v>0.0</v>
      </c>
      <c r="F23" s="7">
        <v>2.7</v>
      </c>
      <c r="G23" s="2">
        <v>0.0</v>
      </c>
      <c r="H23" s="2">
        <v>10.72688123</v>
      </c>
      <c r="I23" s="2">
        <v>0.0</v>
      </c>
    </row>
    <row r="24">
      <c r="A24" s="3" t="s">
        <v>85</v>
      </c>
      <c r="B24" s="2" t="s">
        <v>6</v>
      </c>
      <c r="C24" s="2">
        <v>0.0</v>
      </c>
      <c r="D24" s="2">
        <v>0.0</v>
      </c>
      <c r="E24" s="2">
        <v>0.0</v>
      </c>
      <c r="F24" s="2">
        <v>2.78</v>
      </c>
      <c r="G24" s="2">
        <v>0.0</v>
      </c>
      <c r="H24" s="2">
        <v>8.408496924</v>
      </c>
      <c r="I24" s="2">
        <v>0.0</v>
      </c>
    </row>
    <row r="25">
      <c r="A25" s="3" t="s">
        <v>85</v>
      </c>
      <c r="B25" s="2" t="s">
        <v>12</v>
      </c>
      <c r="C25" s="2">
        <v>0.0</v>
      </c>
      <c r="D25" s="2">
        <v>0.0</v>
      </c>
      <c r="E25" s="2">
        <v>0.0</v>
      </c>
      <c r="F25" s="2">
        <v>8.9</v>
      </c>
      <c r="G25" s="2">
        <v>0.0</v>
      </c>
      <c r="H25" s="2">
        <v>44.5000451259104</v>
      </c>
      <c r="I25" s="2">
        <v>0.0</v>
      </c>
    </row>
    <row r="26">
      <c r="A26" s="3" t="s">
        <v>85</v>
      </c>
      <c r="B26" s="2" t="s">
        <v>74</v>
      </c>
      <c r="C26" s="2">
        <v>0.0</v>
      </c>
      <c r="D26" s="2">
        <v>0.0</v>
      </c>
      <c r="E26" s="2">
        <v>0.0</v>
      </c>
      <c r="F26" s="7">
        <v>2.2</v>
      </c>
      <c r="G26" s="2">
        <v>0.0</v>
      </c>
      <c r="H26" s="2">
        <v>13.98634348</v>
      </c>
      <c r="I26" s="2">
        <v>0.0</v>
      </c>
    </row>
    <row r="27">
      <c r="A27" s="3" t="s">
        <v>85</v>
      </c>
      <c r="B27" s="2" t="s">
        <v>75</v>
      </c>
      <c r="C27" s="2">
        <v>2068.333333333333</v>
      </c>
      <c r="D27" s="2">
        <v>1.4620186811643498E20</v>
      </c>
      <c r="E27" s="2">
        <v>0.14620186811643499</v>
      </c>
      <c r="F27" s="7">
        <v>8.959999999999999</v>
      </c>
      <c r="G27" s="2">
        <v>1.3099687383232574</v>
      </c>
      <c r="H27" s="2">
        <v>6.090112618</v>
      </c>
      <c r="I27" s="2">
        <v>7.97785714244801</v>
      </c>
    </row>
    <row r="28">
      <c r="A28" s="3" t="s">
        <v>85</v>
      </c>
      <c r="B28" s="2" t="s">
        <v>82</v>
      </c>
      <c r="C28" s="2">
        <v>0.0</v>
      </c>
      <c r="D28" s="2">
        <v>0.0</v>
      </c>
      <c r="E28" s="2">
        <v>0.0</v>
      </c>
      <c r="F28" s="2">
        <v>9.69</v>
      </c>
      <c r="G28" s="2">
        <v>0.0</v>
      </c>
      <c r="H28" s="2">
        <v>24.90282413547882</v>
      </c>
      <c r="I28" s="2">
        <v>0.0</v>
      </c>
    </row>
    <row r="29">
      <c r="A29" s="3" t="s">
        <v>85</v>
      </c>
      <c r="B29" s="2" t="s">
        <v>22</v>
      </c>
      <c r="C29" s="2">
        <v>26.0</v>
      </c>
      <c r="D29" s="2">
        <v>1.837831702350029E18</v>
      </c>
      <c r="E29" s="2">
        <v>0.001837831702350029</v>
      </c>
      <c r="F29" s="2">
        <v>18.63</v>
      </c>
      <c r="G29" s="2">
        <v>0.03423880461478104</v>
      </c>
      <c r="H29" s="2">
        <v>19053.34</v>
      </c>
      <c r="I29" s="2">
        <v>652.3635855189923</v>
      </c>
    </row>
    <row r="30">
      <c r="A30" s="3" t="s">
        <v>85</v>
      </c>
      <c r="B30" s="2" t="s">
        <v>84</v>
      </c>
      <c r="C30" s="2">
        <v>130.0</v>
      </c>
      <c r="D30" s="2">
        <v>9.189158511750144E18</v>
      </c>
      <c r="E30" s="2">
        <v>0.009189158511750143</v>
      </c>
      <c r="F30" s="7">
        <v>2.33</v>
      </c>
      <c r="G30" s="2">
        <v>0.021410739332377835</v>
      </c>
      <c r="H30" s="2">
        <v>4.130951538</v>
      </c>
      <c r="I30" s="2">
        <v>0.0884467265748033</v>
      </c>
    </row>
    <row r="31">
      <c r="A31" s="3" t="s">
        <v>85</v>
      </c>
      <c r="B31" s="2" t="s">
        <v>28</v>
      </c>
      <c r="C31" s="2">
        <v>21500.0</v>
      </c>
      <c r="D31" s="2">
        <v>1.5197454461740623E21</v>
      </c>
      <c r="E31" s="2">
        <v>1.5197454461740623</v>
      </c>
      <c r="F31" s="7">
        <v>0.9659999999999999</v>
      </c>
      <c r="G31" s="2">
        <v>1.468074101004144</v>
      </c>
      <c r="H31" s="2">
        <v>4.2</v>
      </c>
      <c r="I31" s="2">
        <v>6.165911224217405</v>
      </c>
    </row>
    <row r="32">
      <c r="A32" s="3" t="s">
        <v>85</v>
      </c>
      <c r="B32" s="2" t="s">
        <v>30</v>
      </c>
      <c r="C32" s="2">
        <v>0.0</v>
      </c>
      <c r="D32" s="2">
        <v>0.0</v>
      </c>
      <c r="E32" s="2">
        <v>0.0</v>
      </c>
      <c r="F32" s="7">
        <v>2.29</v>
      </c>
      <c r="G32" s="2">
        <v>0.0</v>
      </c>
      <c r="H32" s="2">
        <v>308.8887784</v>
      </c>
      <c r="I32" s="2">
        <v>0.0</v>
      </c>
    </row>
    <row r="33">
      <c r="A33" s="3" t="s">
        <v>85</v>
      </c>
      <c r="B33" s="2" t="s">
        <v>32</v>
      </c>
      <c r="C33" s="2">
        <v>123.0</v>
      </c>
      <c r="D33" s="2">
        <v>8.694357668809753E18</v>
      </c>
      <c r="E33" s="2">
        <v>0.008694357668809752</v>
      </c>
      <c r="F33" s="7">
        <v>3.3299999999999996</v>
      </c>
      <c r="G33" s="2">
        <v>0.028952211037136473</v>
      </c>
      <c r="H33" s="2">
        <v>67.97408314</v>
      </c>
      <c r="I33" s="2">
        <v>1.9680000001251403</v>
      </c>
    </row>
    <row r="34">
      <c r="A34" s="3" t="s">
        <v>85</v>
      </c>
      <c r="B34" s="2" t="s">
        <v>36</v>
      </c>
      <c r="C34" s="2">
        <v>244.0</v>
      </c>
      <c r="D34" s="2">
        <v>1.7247343668207964E19</v>
      </c>
      <c r="E34" s="2">
        <v>0.017247343668207963</v>
      </c>
      <c r="F34" s="7">
        <v>3.17</v>
      </c>
      <c r="G34" s="2">
        <v>0.05467407942821924</v>
      </c>
      <c r="H34" s="2">
        <v>64.5720543</v>
      </c>
      <c r="I34" s="2">
        <v>3.530417625641486</v>
      </c>
    </row>
    <row r="35">
      <c r="A35" s="3" t="s">
        <v>85</v>
      </c>
      <c r="B35" s="2" t="s">
        <v>38</v>
      </c>
      <c r="C35" s="2">
        <v>3809.0</v>
      </c>
      <c r="D35" s="2">
        <v>2.6924234439427922E20</v>
      </c>
      <c r="E35" s="2">
        <v>0.26924234439427924</v>
      </c>
      <c r="F35" s="7">
        <v>2.13</v>
      </c>
      <c r="G35" s="2">
        <v>0.5734861935598148</v>
      </c>
      <c r="H35" s="2">
        <v>2.046463887</v>
      </c>
      <c r="I35" s="2">
        <v>1.1736187848132529</v>
      </c>
    </row>
    <row r="36">
      <c r="A36" s="3" t="s">
        <v>85</v>
      </c>
      <c r="B36" s="2" t="s">
        <v>40</v>
      </c>
      <c r="C36" s="2">
        <v>0.0</v>
      </c>
      <c r="D36" s="2">
        <v>0.0</v>
      </c>
      <c r="E36" s="2">
        <v>0.0</v>
      </c>
      <c r="F36" s="2">
        <v>2.0</v>
      </c>
      <c r="G36" s="2">
        <v>0.0</v>
      </c>
      <c r="H36" s="2">
        <v>88.01299960362851</v>
      </c>
      <c r="I36" s="2">
        <v>0.0</v>
      </c>
    </row>
    <row r="37">
      <c r="A37" s="3" t="s">
        <v>85</v>
      </c>
      <c r="B37" s="2" t="s">
        <v>42</v>
      </c>
      <c r="C37" s="2">
        <v>9.6</v>
      </c>
      <c r="D37" s="2">
        <v>6.785840131753953E17</v>
      </c>
      <c r="E37" s="2">
        <v>6.785840131753953E-4</v>
      </c>
      <c r="F37" s="7">
        <v>2.81</v>
      </c>
      <c r="G37" s="2">
        <v>0.001906821077022861</v>
      </c>
      <c r="H37" s="2">
        <v>37.87056387</v>
      </c>
      <c r="I37" s="2">
        <v>0.07221238938605644</v>
      </c>
    </row>
    <row r="38">
      <c r="A38" s="3" t="s">
        <v>85</v>
      </c>
      <c r="B38" s="2" t="s">
        <v>44</v>
      </c>
      <c r="C38" s="2">
        <v>18.333333333333332</v>
      </c>
      <c r="D38" s="2">
        <v>1.2959069696057897E18</v>
      </c>
      <c r="E38" s="2">
        <v>0.0012959069696057896</v>
      </c>
      <c r="F38" s="2">
        <v>16.7</v>
      </c>
      <c r="G38" s="2">
        <v>0.021641646392416686</v>
      </c>
      <c r="H38" s="2">
        <v>170.8356</v>
      </c>
      <c r="I38" s="2">
        <v>3.69716364643634</v>
      </c>
    </row>
    <row r="39">
      <c r="A39" s="3" t="s">
        <v>85</v>
      </c>
      <c r="B39" s="2" t="s">
        <v>46</v>
      </c>
      <c r="C39" s="2">
        <v>18.333333333333332</v>
      </c>
      <c r="D39" s="2">
        <v>1.2959069696057897E18</v>
      </c>
      <c r="E39" s="2">
        <v>0.0012959069696057896</v>
      </c>
      <c r="F39" s="7">
        <v>13.699999999999998</v>
      </c>
      <c r="G39" s="2">
        <v>0.017753925483599314</v>
      </c>
      <c r="H39" s="2">
        <v>25.81588696</v>
      </c>
      <c r="I39" s="2">
        <v>0.45833333338086324</v>
      </c>
    </row>
    <row r="40">
      <c r="A40" s="3" t="s">
        <v>85</v>
      </c>
      <c r="B40" s="2" t="s">
        <v>48</v>
      </c>
      <c r="C40" s="2">
        <v>0.0</v>
      </c>
      <c r="D40" s="2">
        <v>0.0</v>
      </c>
      <c r="E40" s="2">
        <v>0.0</v>
      </c>
      <c r="F40" s="7">
        <v>0.9399999999999998</v>
      </c>
      <c r="G40" s="2">
        <v>0.0</v>
      </c>
      <c r="H40" s="2">
        <v>2.859521436</v>
      </c>
      <c r="I40" s="2">
        <v>0.0</v>
      </c>
    </row>
    <row r="41">
      <c r="A41" s="3" t="s">
        <v>85</v>
      </c>
      <c r="B41" s="2" t="s">
        <v>50</v>
      </c>
      <c r="C41" s="2">
        <v>0.0</v>
      </c>
      <c r="D41" s="2">
        <v>0.0</v>
      </c>
      <c r="E41" s="2">
        <v>0.0</v>
      </c>
      <c r="F41" s="7">
        <v>4.5</v>
      </c>
      <c r="G41" s="2">
        <v>0.0</v>
      </c>
      <c r="H41" s="2">
        <v>47.63335371</v>
      </c>
      <c r="I41" s="2">
        <v>0.0</v>
      </c>
    </row>
    <row r="42">
      <c r="A42" s="3" t="s">
        <v>85</v>
      </c>
      <c r="B42" s="2" t="s">
        <v>52</v>
      </c>
      <c r="C42" s="2">
        <v>24.0</v>
      </c>
      <c r="D42" s="2">
        <v>1.6964600329384883E18</v>
      </c>
      <c r="E42" s="2">
        <v>0.0016964600329384884</v>
      </c>
      <c r="F42" s="7">
        <v>5.209999999999999</v>
      </c>
      <c r="G42" s="2">
        <v>0.008838556771609524</v>
      </c>
      <c r="H42" s="2">
        <v>43.97783202</v>
      </c>
      <c r="I42" s="2">
        <v>0.38870056500107714</v>
      </c>
    </row>
    <row r="43">
      <c r="A43" s="3" t="s">
        <v>85</v>
      </c>
      <c r="B43" s="2" t="s">
        <v>56</v>
      </c>
      <c r="C43" s="2">
        <v>500.0</v>
      </c>
      <c r="D43" s="2">
        <v>3.534291735288517E19</v>
      </c>
      <c r="E43" s="2">
        <v>0.03534291735288517</v>
      </c>
      <c r="F43" s="7">
        <v>19.3</v>
      </c>
      <c r="G43" s="2">
        <v>0.6821183049106837</v>
      </c>
      <c r="H43" s="2">
        <v>75.81493114</v>
      </c>
      <c r="I43" s="2">
        <v>51.71475231613701</v>
      </c>
    </row>
    <row r="44">
      <c r="A44" s="3" t="s">
        <v>85</v>
      </c>
      <c r="B44" s="2" t="s">
        <v>60</v>
      </c>
      <c r="C44" s="2">
        <v>0.0</v>
      </c>
      <c r="D44" s="2">
        <v>0.0</v>
      </c>
      <c r="E44" s="2">
        <v>0.0</v>
      </c>
      <c r="F44" s="2">
        <v>4.8149999999999995</v>
      </c>
      <c r="G44" s="2">
        <v>0.0</v>
      </c>
      <c r="H44" s="2">
        <v>1065.070666154757</v>
      </c>
      <c r="I44" s="2">
        <v>0.0</v>
      </c>
    </row>
    <row r="45">
      <c r="A45" s="3" t="s">
        <v>85</v>
      </c>
      <c r="B45" s="2" t="s">
        <v>62</v>
      </c>
      <c r="C45" s="2">
        <v>0.0</v>
      </c>
      <c r="D45" s="2">
        <v>0.0</v>
      </c>
      <c r="E45" s="2">
        <v>0.0</v>
      </c>
      <c r="F45" s="2">
        <v>6.44</v>
      </c>
      <c r="G45" s="2">
        <v>0.0</v>
      </c>
      <c r="H45" s="2">
        <v>1008.6373963173792</v>
      </c>
      <c r="I45" s="2">
        <v>0.0</v>
      </c>
    </row>
    <row r="46">
      <c r="A46" s="3" t="s">
        <v>85</v>
      </c>
      <c r="B46" s="2" t="s">
        <v>64</v>
      </c>
      <c r="C46" s="2">
        <v>0.0</v>
      </c>
      <c r="D46" s="2">
        <v>0.0</v>
      </c>
      <c r="E46" s="2">
        <v>0.0</v>
      </c>
      <c r="F46" s="2">
        <v>7.685</v>
      </c>
      <c r="G46" s="2">
        <v>0.0</v>
      </c>
      <c r="H46" s="2">
        <v>1015.9485375966532</v>
      </c>
      <c r="I46" s="2">
        <v>0.0</v>
      </c>
    </row>
    <row r="47">
      <c r="A47" s="2" t="s">
        <v>86</v>
      </c>
      <c r="B47" s="2" t="s">
        <v>2</v>
      </c>
      <c r="C47" s="2">
        <v>0.0</v>
      </c>
      <c r="D47" s="2">
        <v>0.0</v>
      </c>
      <c r="E47" s="2">
        <v>0.0</v>
      </c>
      <c r="F47" s="7">
        <v>1.9999999999999998</v>
      </c>
      <c r="G47" s="2">
        <v>0.0</v>
      </c>
      <c r="H47" s="2">
        <v>254.6479089</v>
      </c>
      <c r="I47" s="2">
        <v>0.0</v>
      </c>
    </row>
    <row r="48">
      <c r="A48" s="2" t="s">
        <v>86</v>
      </c>
      <c r="B48" s="2" t="s">
        <v>4</v>
      </c>
      <c r="C48" s="2">
        <v>0.0</v>
      </c>
      <c r="D48" s="2">
        <v>0.0</v>
      </c>
      <c r="E48" s="2">
        <v>0.0</v>
      </c>
      <c r="F48" s="7">
        <v>2.7</v>
      </c>
      <c r="G48" s="2">
        <v>0.0</v>
      </c>
      <c r="H48" s="2">
        <v>10.72688123</v>
      </c>
      <c r="I48" s="2">
        <v>0.0</v>
      </c>
    </row>
    <row r="49">
      <c r="A49" s="2" t="s">
        <v>86</v>
      </c>
      <c r="B49" s="2" t="s">
        <v>6</v>
      </c>
      <c r="C49" s="2">
        <v>0.0</v>
      </c>
      <c r="D49" s="2">
        <v>0.0</v>
      </c>
      <c r="E49" s="2">
        <v>0.0</v>
      </c>
      <c r="F49" s="2">
        <v>2.78</v>
      </c>
      <c r="G49" s="2">
        <v>0.0</v>
      </c>
      <c r="H49" s="2">
        <v>8.408496924</v>
      </c>
      <c r="I49" s="2">
        <v>0.0</v>
      </c>
    </row>
    <row r="50">
      <c r="A50" s="2" t="s">
        <v>86</v>
      </c>
      <c r="B50" s="2" t="s">
        <v>12</v>
      </c>
      <c r="C50" s="2">
        <v>2.0</v>
      </c>
      <c r="D50" s="2">
        <v>1.4137166941154069E17</v>
      </c>
      <c r="E50" s="2">
        <v>1.4137166941154068E-4</v>
      </c>
      <c r="F50" s="7">
        <v>8.9</v>
      </c>
      <c r="G50" s="2">
        <v>0.001258207857762712</v>
      </c>
      <c r="H50" s="2">
        <v>44.5000451259104</v>
      </c>
      <c r="I50" s="2">
        <v>0.05599030644821574</v>
      </c>
    </row>
    <row r="51">
      <c r="A51" s="2" t="s">
        <v>86</v>
      </c>
      <c r="B51" s="2" t="s">
        <v>74</v>
      </c>
      <c r="C51" s="2">
        <v>0.0</v>
      </c>
      <c r="D51" s="2">
        <v>0.0</v>
      </c>
      <c r="E51" s="2">
        <v>0.0</v>
      </c>
      <c r="F51" s="7">
        <v>2.2</v>
      </c>
      <c r="G51" s="2">
        <v>0.0</v>
      </c>
      <c r="H51" s="2">
        <v>13.98634348</v>
      </c>
      <c r="I51" s="2">
        <v>0.0</v>
      </c>
    </row>
    <row r="52">
      <c r="A52" s="2" t="s">
        <v>86</v>
      </c>
      <c r="B52" s="2" t="s">
        <v>75</v>
      </c>
      <c r="C52" s="2">
        <v>340.0</v>
      </c>
      <c r="D52" s="2">
        <v>2.403318379996192E19</v>
      </c>
      <c r="E52" s="2">
        <v>0.02403318379996192</v>
      </c>
      <c r="F52" s="7">
        <v>8.959999999999999</v>
      </c>
      <c r="G52" s="2">
        <v>0.21533732684765877</v>
      </c>
      <c r="H52" s="2">
        <v>6.090112618</v>
      </c>
      <c r="I52" s="2">
        <v>1.311428571361317</v>
      </c>
    </row>
    <row r="53">
      <c r="A53" s="2" t="s">
        <v>86</v>
      </c>
      <c r="B53" s="2" t="s">
        <v>82</v>
      </c>
      <c r="C53" s="2">
        <v>0.0</v>
      </c>
      <c r="D53" s="2">
        <v>0.0</v>
      </c>
      <c r="E53" s="2">
        <v>0.0</v>
      </c>
      <c r="F53" s="2">
        <v>9.69</v>
      </c>
      <c r="G53" s="2">
        <v>0.0</v>
      </c>
      <c r="H53" s="2">
        <v>24.90282413547882</v>
      </c>
      <c r="I53" s="2">
        <v>0.0</v>
      </c>
    </row>
    <row r="54">
      <c r="A54" s="2" t="s">
        <v>86</v>
      </c>
      <c r="B54" s="2" t="s">
        <v>22</v>
      </c>
      <c r="C54" s="2">
        <v>0.0</v>
      </c>
      <c r="D54" s="2">
        <v>0.0</v>
      </c>
      <c r="E54" s="2">
        <v>0.0</v>
      </c>
      <c r="F54" s="2">
        <v>18.63</v>
      </c>
      <c r="G54" s="2">
        <v>0.0</v>
      </c>
      <c r="H54" s="2">
        <v>19053.34</v>
      </c>
      <c r="I54" s="2">
        <v>0.0</v>
      </c>
    </row>
    <row r="55">
      <c r="A55" s="2" t="s">
        <v>86</v>
      </c>
      <c r="B55" s="2" t="s">
        <v>84</v>
      </c>
      <c r="C55" s="2">
        <v>0.0</v>
      </c>
      <c r="D55" s="2">
        <v>0.0</v>
      </c>
      <c r="E55" s="2">
        <v>0.0</v>
      </c>
      <c r="F55" s="7">
        <v>2.33</v>
      </c>
      <c r="G55" s="2">
        <v>0.0</v>
      </c>
      <c r="H55" s="2">
        <v>4.130951538</v>
      </c>
      <c r="I55" s="2">
        <v>0.0</v>
      </c>
    </row>
    <row r="56">
      <c r="A56" s="2" t="s">
        <v>86</v>
      </c>
      <c r="B56" s="2" t="s">
        <v>28</v>
      </c>
      <c r="C56" s="2">
        <v>1000.0</v>
      </c>
      <c r="D56" s="2">
        <v>7.068583470577034E19</v>
      </c>
      <c r="E56" s="2">
        <v>0.07068583470577033</v>
      </c>
      <c r="F56" s="7">
        <v>0.9659999999999999</v>
      </c>
      <c r="G56" s="2">
        <v>0.06828251632577413</v>
      </c>
      <c r="H56" s="2">
        <v>4.2</v>
      </c>
      <c r="I56" s="2">
        <v>0.28678656856825135</v>
      </c>
    </row>
    <row r="57">
      <c r="A57" s="2" t="s">
        <v>86</v>
      </c>
      <c r="B57" s="2" t="s">
        <v>30</v>
      </c>
      <c r="C57" s="2">
        <v>0.0</v>
      </c>
      <c r="D57" s="2">
        <v>0.0</v>
      </c>
      <c r="E57" s="2">
        <v>0.0</v>
      </c>
      <c r="F57" s="7">
        <v>2.29</v>
      </c>
      <c r="G57" s="2">
        <v>0.0</v>
      </c>
      <c r="H57" s="2">
        <v>308.8887784</v>
      </c>
      <c r="I57" s="2">
        <v>0.0</v>
      </c>
    </row>
    <row r="58">
      <c r="A58" s="2" t="s">
        <v>86</v>
      </c>
      <c r="B58" s="2" t="s">
        <v>32</v>
      </c>
      <c r="C58" s="2">
        <v>0.0</v>
      </c>
      <c r="D58" s="2">
        <v>0.0</v>
      </c>
      <c r="E58" s="2">
        <v>0.0</v>
      </c>
      <c r="F58" s="7">
        <v>3.3299999999999996</v>
      </c>
      <c r="G58" s="2">
        <v>0.0</v>
      </c>
      <c r="H58" s="2">
        <v>67.97408314</v>
      </c>
      <c r="I58" s="2">
        <v>0.0</v>
      </c>
    </row>
    <row r="59">
      <c r="A59" s="2" t="s">
        <v>86</v>
      </c>
      <c r="B59" s="2" t="s">
        <v>36</v>
      </c>
      <c r="C59" s="2">
        <v>0.0</v>
      </c>
      <c r="D59" s="2">
        <v>0.0</v>
      </c>
      <c r="E59" s="2">
        <v>0.0</v>
      </c>
      <c r="F59" s="7">
        <v>3.17</v>
      </c>
      <c r="G59" s="2">
        <v>0.0</v>
      </c>
      <c r="H59" s="2">
        <v>64.5720543</v>
      </c>
      <c r="I59" s="2">
        <v>0.0</v>
      </c>
    </row>
    <row r="60">
      <c r="A60" s="2" t="s">
        <v>86</v>
      </c>
      <c r="B60" s="2" t="s">
        <v>38</v>
      </c>
      <c r="C60" s="2">
        <v>10.0</v>
      </c>
      <c r="D60" s="2">
        <v>7.068583470577034E17</v>
      </c>
      <c r="E60" s="2">
        <v>7.068583470577034E-4</v>
      </c>
      <c r="F60" s="7">
        <v>2.13</v>
      </c>
      <c r="G60" s="2">
        <v>0.0015056082792329081</v>
      </c>
      <c r="H60" s="2">
        <v>2.046463887</v>
      </c>
      <c r="I60" s="2">
        <v>0.003081172971418358</v>
      </c>
    </row>
    <row r="61">
      <c r="A61" s="2" t="s">
        <v>86</v>
      </c>
      <c r="B61" s="2" t="s">
        <v>40</v>
      </c>
      <c r="C61" s="2">
        <v>300.0</v>
      </c>
      <c r="D61" s="2">
        <v>2.1205750411731104E19</v>
      </c>
      <c r="E61" s="2">
        <v>0.021205750411731103</v>
      </c>
      <c r="F61" s="2">
        <v>2.0</v>
      </c>
      <c r="G61" s="2">
        <v>0.042411500823462206</v>
      </c>
      <c r="H61" s="2">
        <v>88.01299960362851</v>
      </c>
      <c r="I61" s="2">
        <v>3.7327634051646696</v>
      </c>
    </row>
    <row r="62">
      <c r="A62" s="2" t="s">
        <v>86</v>
      </c>
      <c r="B62" s="2" t="s">
        <v>42</v>
      </c>
      <c r="C62" s="2">
        <v>0.0</v>
      </c>
      <c r="D62" s="2">
        <v>0.0</v>
      </c>
      <c r="E62" s="2">
        <v>0.0</v>
      </c>
      <c r="F62" s="7">
        <v>2.81</v>
      </c>
      <c r="G62" s="2">
        <v>0.0</v>
      </c>
      <c r="H62" s="2">
        <v>37.87056387</v>
      </c>
      <c r="I62" s="2">
        <v>0.0</v>
      </c>
    </row>
    <row r="63">
      <c r="A63" s="2" t="s">
        <v>86</v>
      </c>
      <c r="B63" s="2" t="s">
        <v>44</v>
      </c>
      <c r="C63" s="2">
        <v>15.0</v>
      </c>
      <c r="D63" s="2">
        <v>1.0602875205865551E18</v>
      </c>
      <c r="E63" s="2">
        <v>0.0010602875205865552</v>
      </c>
      <c r="F63" s="2">
        <v>16.7</v>
      </c>
      <c r="G63" s="2">
        <v>0.017706801593795472</v>
      </c>
      <c r="H63" s="2">
        <v>170.8356</v>
      </c>
      <c r="I63" s="2">
        <v>3.0249520743570057</v>
      </c>
    </row>
    <row r="64">
      <c r="A64" s="2" t="s">
        <v>86</v>
      </c>
      <c r="B64" s="2" t="s">
        <v>46</v>
      </c>
      <c r="C64" s="2">
        <v>15.0</v>
      </c>
      <c r="D64" s="2">
        <v>1.0602875205865551E18</v>
      </c>
      <c r="E64" s="2">
        <v>0.0010602875205865552</v>
      </c>
      <c r="F64" s="7">
        <v>13.699999999999998</v>
      </c>
      <c r="G64" s="2">
        <v>0.014525939032035804</v>
      </c>
      <c r="H64" s="2">
        <v>25.81588696</v>
      </c>
      <c r="I64" s="2">
        <v>0.37500000003888817</v>
      </c>
    </row>
    <row r="65">
      <c r="A65" s="2" t="s">
        <v>86</v>
      </c>
      <c r="B65" s="2" t="s">
        <v>48</v>
      </c>
      <c r="C65" s="2">
        <v>0.0</v>
      </c>
      <c r="D65" s="2">
        <v>0.0</v>
      </c>
      <c r="E65" s="2">
        <v>0.0</v>
      </c>
      <c r="F65" s="7">
        <v>0.9399999999999998</v>
      </c>
      <c r="G65" s="2">
        <v>0.0</v>
      </c>
      <c r="H65" s="2">
        <v>2.859521436</v>
      </c>
      <c r="I65" s="2">
        <v>0.0</v>
      </c>
    </row>
    <row r="66">
      <c r="A66" s="2" t="s">
        <v>86</v>
      </c>
      <c r="B66" s="2" t="s">
        <v>50</v>
      </c>
      <c r="C66" s="2">
        <v>0.0</v>
      </c>
      <c r="D66" s="2">
        <v>0.0</v>
      </c>
      <c r="E66" s="2">
        <v>0.0</v>
      </c>
      <c r="F66" s="7">
        <v>4.5</v>
      </c>
      <c r="G66" s="2">
        <v>0.0</v>
      </c>
      <c r="H66" s="2">
        <v>47.63335371</v>
      </c>
      <c r="I66" s="2">
        <v>0.0</v>
      </c>
    </row>
    <row r="67">
      <c r="A67" s="2" t="s">
        <v>86</v>
      </c>
      <c r="B67" s="2" t="s">
        <v>52</v>
      </c>
      <c r="C67" s="2">
        <v>0.0</v>
      </c>
      <c r="D67" s="2">
        <v>0.0</v>
      </c>
      <c r="E67" s="2">
        <v>0.0</v>
      </c>
      <c r="F67" s="7">
        <v>5.209999999999999</v>
      </c>
      <c r="G67" s="2">
        <v>0.0</v>
      </c>
      <c r="H67" s="2">
        <v>43.97783202</v>
      </c>
      <c r="I67" s="2">
        <v>0.0</v>
      </c>
    </row>
    <row r="68">
      <c r="A68" s="2" t="s">
        <v>86</v>
      </c>
      <c r="B68" s="2" t="s">
        <v>56</v>
      </c>
      <c r="C68" s="2">
        <v>0.0</v>
      </c>
      <c r="D68" s="2">
        <v>0.0</v>
      </c>
      <c r="E68" s="2">
        <v>0.0</v>
      </c>
      <c r="F68" s="7">
        <v>19.3</v>
      </c>
      <c r="G68" s="2">
        <v>0.0</v>
      </c>
      <c r="H68" s="2">
        <v>75.81493114</v>
      </c>
      <c r="I68" s="2">
        <v>0.0</v>
      </c>
    </row>
    <row r="69">
      <c r="A69" s="2" t="s">
        <v>86</v>
      </c>
      <c r="B69" s="2" t="s">
        <v>58</v>
      </c>
      <c r="C69" s="2">
        <v>0.0</v>
      </c>
      <c r="F69" s="7" t="s">
        <v>77</v>
      </c>
      <c r="H69" s="2">
        <v>365.3054</v>
      </c>
      <c r="I69" s="2">
        <v>51643.83424305064</v>
      </c>
    </row>
    <row r="70">
      <c r="A70" s="2" t="s">
        <v>86</v>
      </c>
      <c r="B70" s="2" t="s">
        <v>60</v>
      </c>
      <c r="C70" s="2">
        <v>0.0</v>
      </c>
      <c r="D70" s="2">
        <v>0.0</v>
      </c>
      <c r="E70" s="2">
        <v>0.0</v>
      </c>
      <c r="F70" s="2">
        <v>4.8149999999999995</v>
      </c>
      <c r="G70" s="2">
        <v>0.0</v>
      </c>
      <c r="H70" s="2">
        <v>1065.070666154757</v>
      </c>
      <c r="I70" s="2">
        <v>0.0</v>
      </c>
    </row>
    <row r="71">
      <c r="A71" s="2" t="s">
        <v>86</v>
      </c>
      <c r="B71" s="2" t="s">
        <v>62</v>
      </c>
      <c r="C71" s="2">
        <v>0.0</v>
      </c>
      <c r="D71" s="2">
        <v>0.0</v>
      </c>
      <c r="E71" s="2">
        <v>0.0</v>
      </c>
      <c r="F71" s="2">
        <v>6.44</v>
      </c>
      <c r="G71" s="2">
        <v>0.0</v>
      </c>
      <c r="H71" s="2">
        <v>1008.6373963173792</v>
      </c>
      <c r="I71" s="2">
        <v>0.0</v>
      </c>
    </row>
    <row r="72">
      <c r="A72" s="2" t="s">
        <v>86</v>
      </c>
      <c r="B72" s="2" t="s">
        <v>64</v>
      </c>
      <c r="C72" s="2">
        <v>0.0</v>
      </c>
      <c r="D72" s="2">
        <v>0.0</v>
      </c>
      <c r="E72" s="2">
        <v>0.0</v>
      </c>
      <c r="F72" s="2">
        <v>7.685</v>
      </c>
      <c r="G72" s="2">
        <v>0.0</v>
      </c>
      <c r="H72" s="2">
        <v>1015.9485375966532</v>
      </c>
      <c r="I72" s="2">
        <v>0.0</v>
      </c>
    </row>
    <row r="74">
      <c r="H74" s="4" t="s">
        <v>78</v>
      </c>
      <c r="I74" s="2">
        <v>1077.2561793855796</v>
      </c>
    </row>
    <row r="75">
      <c r="H75" s="4" t="s">
        <v>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58</v>
      </c>
      <c r="B1" s="6" t="s">
        <v>66</v>
      </c>
      <c r="C1" s="6" t="s">
        <v>81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80</v>
      </c>
      <c r="I1" s="6" t="s">
        <v>73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85</v>
      </c>
      <c r="B2" s="2" t="s">
        <v>2</v>
      </c>
      <c r="C2" s="2">
        <v>0.0</v>
      </c>
      <c r="D2" s="2">
        <v>0.0</v>
      </c>
      <c r="E2" s="2">
        <v>0.0</v>
      </c>
      <c r="F2" s="7">
        <v>1.9999999999999998</v>
      </c>
      <c r="G2" s="2">
        <v>0.0</v>
      </c>
      <c r="H2" s="2">
        <v>254.6479089</v>
      </c>
      <c r="I2" s="2">
        <v>0.0</v>
      </c>
    </row>
    <row r="3">
      <c r="A3" s="3" t="s">
        <v>85</v>
      </c>
      <c r="B3" s="2" t="s">
        <v>4</v>
      </c>
      <c r="C3" s="2">
        <v>0.0</v>
      </c>
      <c r="D3" s="2">
        <v>0.0</v>
      </c>
      <c r="E3" s="2">
        <v>0.0</v>
      </c>
      <c r="F3" s="7">
        <v>2.7</v>
      </c>
      <c r="G3" s="2">
        <v>0.0</v>
      </c>
      <c r="H3" s="2">
        <v>10.72688123</v>
      </c>
      <c r="I3" s="2">
        <v>0.0</v>
      </c>
    </row>
    <row r="4">
      <c r="A4" s="3" t="s">
        <v>85</v>
      </c>
      <c r="B4" s="2" t="s">
        <v>6</v>
      </c>
      <c r="C4" s="2">
        <v>0.0</v>
      </c>
      <c r="D4" s="2">
        <v>0.0</v>
      </c>
      <c r="E4" s="2">
        <v>0.0</v>
      </c>
      <c r="F4" s="2">
        <v>2.78</v>
      </c>
      <c r="G4" s="2">
        <v>0.0</v>
      </c>
      <c r="H4" s="2">
        <v>8.408496924</v>
      </c>
      <c r="I4" s="2">
        <v>0.0</v>
      </c>
    </row>
    <row r="5">
      <c r="A5" s="3" t="s">
        <v>85</v>
      </c>
      <c r="B5" s="2" t="s">
        <v>12</v>
      </c>
      <c r="C5" s="2">
        <v>0.0</v>
      </c>
      <c r="D5" s="2">
        <v>0.0</v>
      </c>
      <c r="E5" s="2">
        <v>0.0</v>
      </c>
      <c r="F5" s="7">
        <v>8.9</v>
      </c>
      <c r="G5" s="2">
        <v>0.0</v>
      </c>
      <c r="H5" s="2">
        <v>44.5000451259104</v>
      </c>
      <c r="I5" s="2">
        <v>0.0</v>
      </c>
    </row>
    <row r="6">
      <c r="A6" s="3" t="s">
        <v>85</v>
      </c>
      <c r="B6" s="2" t="s">
        <v>74</v>
      </c>
      <c r="C6" s="2">
        <v>0.0</v>
      </c>
      <c r="D6" s="2">
        <v>0.0</v>
      </c>
      <c r="E6" s="2">
        <v>0.0</v>
      </c>
      <c r="F6" s="7">
        <v>2.2</v>
      </c>
      <c r="G6" s="2">
        <v>0.0</v>
      </c>
      <c r="H6" s="2">
        <v>13.98634348</v>
      </c>
      <c r="I6" s="2">
        <v>0.0</v>
      </c>
    </row>
    <row r="7">
      <c r="A7" s="3" t="s">
        <v>85</v>
      </c>
      <c r="B7" s="2" t="s">
        <v>75</v>
      </c>
      <c r="C7" s="2">
        <v>2068.333333333333</v>
      </c>
      <c r="D7" s="2">
        <v>1.4620186811643498E20</v>
      </c>
      <c r="E7" s="2">
        <v>0.14620186811643499</v>
      </c>
      <c r="F7" s="7">
        <v>8.959999999999999</v>
      </c>
      <c r="G7" s="2">
        <v>1.3099687383232574</v>
      </c>
      <c r="H7" s="2">
        <v>6.090112618</v>
      </c>
      <c r="I7" s="2">
        <v>7.97785714244801</v>
      </c>
    </row>
    <row r="8">
      <c r="A8" s="3" t="s">
        <v>85</v>
      </c>
      <c r="B8" s="2" t="s">
        <v>82</v>
      </c>
      <c r="C8" s="2">
        <v>0.0</v>
      </c>
      <c r="D8" s="2">
        <v>0.0</v>
      </c>
      <c r="E8" s="2">
        <v>0.0</v>
      </c>
      <c r="F8" s="2">
        <v>9.69</v>
      </c>
      <c r="G8" s="2">
        <v>0.0</v>
      </c>
      <c r="H8" s="2">
        <v>24.90282413547882</v>
      </c>
      <c r="I8" s="2">
        <v>0.0</v>
      </c>
    </row>
    <row r="9">
      <c r="A9" s="3" t="s">
        <v>85</v>
      </c>
      <c r="B9" s="2" t="s">
        <v>22</v>
      </c>
      <c r="C9" s="2">
        <v>26.0</v>
      </c>
      <c r="D9" s="2">
        <v>1.837831702350029E18</v>
      </c>
      <c r="E9" s="2">
        <v>0.001837831702350029</v>
      </c>
      <c r="F9" s="2">
        <v>18.63</v>
      </c>
      <c r="G9" s="2">
        <v>0.03423880461478104</v>
      </c>
      <c r="H9" s="2">
        <v>19053.34</v>
      </c>
      <c r="I9" s="2">
        <v>652.3635855189923</v>
      </c>
    </row>
    <row r="10">
      <c r="A10" s="3" t="s">
        <v>85</v>
      </c>
      <c r="B10" s="2" t="s">
        <v>84</v>
      </c>
      <c r="C10" s="2">
        <v>130.0</v>
      </c>
      <c r="D10" s="2">
        <v>9.189158511750144E18</v>
      </c>
      <c r="E10" s="2">
        <v>0.009189158511750143</v>
      </c>
      <c r="F10" s="7">
        <v>2.33</v>
      </c>
      <c r="G10" s="2">
        <v>0.021410739332377835</v>
      </c>
      <c r="H10" s="2">
        <v>4.130951538</v>
      </c>
      <c r="I10" s="2">
        <v>0.0884467265748033</v>
      </c>
    </row>
    <row r="11">
      <c r="A11" s="3" t="s">
        <v>85</v>
      </c>
      <c r="B11" s="2" t="s">
        <v>28</v>
      </c>
      <c r="C11" s="2">
        <v>21500.0</v>
      </c>
      <c r="D11" s="2">
        <v>1.5197454461740623E21</v>
      </c>
      <c r="E11" s="2">
        <v>1.5197454461740623</v>
      </c>
      <c r="F11" s="7">
        <v>0.9659999999999999</v>
      </c>
      <c r="G11" s="2">
        <v>1.468074101004144</v>
      </c>
      <c r="H11" s="2">
        <v>4.2</v>
      </c>
      <c r="I11" s="2">
        <v>6.165911224217405</v>
      </c>
    </row>
    <row r="12">
      <c r="A12" s="3" t="s">
        <v>85</v>
      </c>
      <c r="B12" s="2" t="s">
        <v>30</v>
      </c>
      <c r="C12" s="2">
        <v>0.0</v>
      </c>
      <c r="D12" s="2">
        <v>0.0</v>
      </c>
      <c r="E12" s="2">
        <v>0.0</v>
      </c>
      <c r="F12" s="7">
        <v>2.29</v>
      </c>
      <c r="G12" s="2">
        <v>0.0</v>
      </c>
      <c r="H12" s="2">
        <v>308.8887784</v>
      </c>
      <c r="I12" s="2">
        <v>0.0</v>
      </c>
    </row>
    <row r="13">
      <c r="A13" s="3" t="s">
        <v>85</v>
      </c>
      <c r="B13" s="2" t="s">
        <v>32</v>
      </c>
      <c r="C13" s="2">
        <v>123.0</v>
      </c>
      <c r="D13" s="2">
        <v>8.694357668809753E18</v>
      </c>
      <c r="E13" s="2">
        <v>0.008694357668809752</v>
      </c>
      <c r="F13" s="7">
        <v>3.3299999999999996</v>
      </c>
      <c r="G13" s="2">
        <v>0.028952211037136473</v>
      </c>
      <c r="H13" s="2">
        <v>67.97408314</v>
      </c>
      <c r="I13" s="2">
        <v>1.9680000001251403</v>
      </c>
    </row>
    <row r="14">
      <c r="A14" s="3" t="s">
        <v>85</v>
      </c>
      <c r="B14" s="2" t="s">
        <v>36</v>
      </c>
      <c r="C14" s="2">
        <v>244.0</v>
      </c>
      <c r="D14" s="2">
        <v>1.7247343668207964E19</v>
      </c>
      <c r="E14" s="2">
        <v>0.017247343668207963</v>
      </c>
      <c r="F14" s="7">
        <v>3.17</v>
      </c>
      <c r="G14" s="2">
        <v>0.05467407942821924</v>
      </c>
      <c r="H14" s="2">
        <v>64.5720543</v>
      </c>
      <c r="I14" s="2">
        <v>3.530417625641486</v>
      </c>
    </row>
    <row r="15">
      <c r="A15" s="3" t="s">
        <v>85</v>
      </c>
      <c r="B15" s="2" t="s">
        <v>38</v>
      </c>
      <c r="C15" s="2">
        <v>3809.0</v>
      </c>
      <c r="D15" s="2">
        <v>2.6924234439427922E20</v>
      </c>
      <c r="E15" s="2">
        <v>0.26924234439427924</v>
      </c>
      <c r="F15" s="7">
        <v>2.13</v>
      </c>
      <c r="G15" s="2">
        <v>0.5734861935598148</v>
      </c>
      <c r="H15" s="2">
        <v>2.046463887</v>
      </c>
      <c r="I15" s="2">
        <v>1.1736187848132529</v>
      </c>
    </row>
    <row r="16">
      <c r="A16" s="3" t="s">
        <v>85</v>
      </c>
      <c r="B16" s="2" t="s">
        <v>40</v>
      </c>
      <c r="C16" s="2">
        <v>0.0</v>
      </c>
      <c r="D16" s="2">
        <v>0.0</v>
      </c>
      <c r="E16" s="2">
        <v>0.0</v>
      </c>
      <c r="F16" s="2">
        <v>2.0</v>
      </c>
      <c r="G16" s="2">
        <v>0.0</v>
      </c>
      <c r="H16" s="2">
        <v>88.01299960362851</v>
      </c>
      <c r="I16" s="2">
        <v>0.0</v>
      </c>
    </row>
    <row r="17">
      <c r="A17" s="3" t="s">
        <v>85</v>
      </c>
      <c r="B17" s="2" t="s">
        <v>42</v>
      </c>
      <c r="C17" s="2">
        <v>9.6</v>
      </c>
      <c r="D17" s="2">
        <v>6.785840131753953E17</v>
      </c>
      <c r="E17" s="2">
        <v>6.785840131753953E-4</v>
      </c>
      <c r="F17" s="7">
        <v>2.81</v>
      </c>
      <c r="G17" s="2">
        <v>0.001906821077022861</v>
      </c>
      <c r="H17" s="2">
        <v>37.87056387</v>
      </c>
      <c r="I17" s="2">
        <v>0.07221238938605644</v>
      </c>
    </row>
    <row r="18">
      <c r="A18" s="3" t="s">
        <v>85</v>
      </c>
      <c r="B18" s="2" t="s">
        <v>44</v>
      </c>
      <c r="C18" s="2">
        <v>18.333333333333332</v>
      </c>
      <c r="D18" s="2">
        <v>1.2959069696057897E18</v>
      </c>
      <c r="E18" s="2">
        <v>0.0012959069696057896</v>
      </c>
      <c r="F18" s="2">
        <v>16.7</v>
      </c>
      <c r="G18" s="2">
        <v>0.021641646392416686</v>
      </c>
      <c r="H18" s="2">
        <v>170.8356</v>
      </c>
      <c r="I18" s="2">
        <v>3.69716364643634</v>
      </c>
    </row>
    <row r="19">
      <c r="A19" s="3" t="s">
        <v>85</v>
      </c>
      <c r="B19" s="2" t="s">
        <v>46</v>
      </c>
      <c r="C19" s="2">
        <v>18.333333333333332</v>
      </c>
      <c r="D19" s="2">
        <v>1.2959069696057897E18</v>
      </c>
      <c r="E19" s="2">
        <v>0.0012959069696057896</v>
      </c>
      <c r="F19" s="7">
        <v>13.699999999999998</v>
      </c>
      <c r="G19" s="2">
        <v>0.017753925483599314</v>
      </c>
      <c r="H19" s="2">
        <v>25.81588696</v>
      </c>
      <c r="I19" s="2">
        <v>0.45833333338086324</v>
      </c>
    </row>
    <row r="20">
      <c r="A20" s="3" t="s">
        <v>85</v>
      </c>
      <c r="B20" s="2" t="s">
        <v>48</v>
      </c>
      <c r="C20" s="2">
        <v>0.0</v>
      </c>
      <c r="D20" s="2">
        <v>0.0</v>
      </c>
      <c r="E20" s="2">
        <v>0.0</v>
      </c>
      <c r="F20" s="7">
        <v>0.9399999999999998</v>
      </c>
      <c r="G20" s="2">
        <v>0.0</v>
      </c>
      <c r="H20" s="2">
        <v>2.859521436</v>
      </c>
      <c r="I20" s="2">
        <v>0.0</v>
      </c>
    </row>
    <row r="21">
      <c r="A21" s="3" t="s">
        <v>85</v>
      </c>
      <c r="B21" s="2" t="s">
        <v>50</v>
      </c>
      <c r="C21" s="2">
        <v>0.0</v>
      </c>
      <c r="D21" s="2">
        <v>0.0</v>
      </c>
      <c r="E21" s="2">
        <v>0.0</v>
      </c>
      <c r="F21" s="7">
        <v>4.5</v>
      </c>
      <c r="G21" s="2">
        <v>0.0</v>
      </c>
      <c r="H21" s="2">
        <v>47.63335371</v>
      </c>
      <c r="I21" s="2">
        <v>0.0</v>
      </c>
    </row>
    <row r="22">
      <c r="A22" s="3" t="s">
        <v>85</v>
      </c>
      <c r="B22" s="2" t="s">
        <v>52</v>
      </c>
      <c r="C22" s="2">
        <v>24.0</v>
      </c>
      <c r="D22" s="2">
        <v>1.6964600329384883E18</v>
      </c>
      <c r="E22" s="2">
        <v>0.0016964600329384884</v>
      </c>
      <c r="F22" s="7">
        <v>5.209999999999999</v>
      </c>
      <c r="G22" s="2">
        <v>0.008838556771609524</v>
      </c>
      <c r="H22" s="2">
        <v>43.97783202</v>
      </c>
      <c r="I22" s="2">
        <v>0.38870056500107714</v>
      </c>
    </row>
    <row r="23">
      <c r="A23" s="3" t="s">
        <v>85</v>
      </c>
      <c r="B23" s="2" t="s">
        <v>56</v>
      </c>
      <c r="C23" s="2">
        <v>500.0</v>
      </c>
      <c r="D23" s="2">
        <v>3.534291735288517E19</v>
      </c>
      <c r="E23" s="2">
        <v>0.03534291735288517</v>
      </c>
      <c r="F23" s="7">
        <v>19.3</v>
      </c>
      <c r="G23" s="2">
        <v>0.6821183049106837</v>
      </c>
      <c r="H23" s="2">
        <v>75.81493114</v>
      </c>
      <c r="I23" s="2">
        <v>51.71475231613701</v>
      </c>
    </row>
    <row r="24">
      <c r="A24" s="3" t="s">
        <v>85</v>
      </c>
      <c r="B24" s="2" t="s">
        <v>60</v>
      </c>
      <c r="C24" s="2">
        <v>0.0</v>
      </c>
      <c r="D24" s="2">
        <v>0.0</v>
      </c>
      <c r="E24" s="2">
        <v>0.0</v>
      </c>
      <c r="F24" s="2">
        <v>4.8149999999999995</v>
      </c>
      <c r="G24" s="2">
        <v>0.0</v>
      </c>
      <c r="H24" s="2">
        <v>1065.070666154757</v>
      </c>
      <c r="I24" s="2">
        <v>0.0</v>
      </c>
    </row>
    <row r="25">
      <c r="A25" s="3" t="s">
        <v>85</v>
      </c>
      <c r="B25" s="2" t="s">
        <v>62</v>
      </c>
      <c r="C25" s="2">
        <v>0.0</v>
      </c>
      <c r="D25" s="2">
        <v>0.0</v>
      </c>
      <c r="E25" s="2">
        <v>0.0</v>
      </c>
      <c r="F25" s="2">
        <v>6.44</v>
      </c>
      <c r="G25" s="2">
        <v>0.0</v>
      </c>
      <c r="H25" s="2">
        <v>1008.6373963173792</v>
      </c>
      <c r="I25" s="2">
        <v>0.0</v>
      </c>
    </row>
    <row r="26">
      <c r="A26" s="3" t="s">
        <v>85</v>
      </c>
      <c r="B26" s="2" t="s">
        <v>64</v>
      </c>
      <c r="C26" s="2">
        <v>0.0</v>
      </c>
      <c r="D26" s="2">
        <v>0.0</v>
      </c>
      <c r="E26" s="2">
        <v>0.0</v>
      </c>
      <c r="F26" s="2">
        <v>7.685</v>
      </c>
      <c r="G26" s="2">
        <v>0.0</v>
      </c>
      <c r="H26" s="2">
        <v>1015.9485375966532</v>
      </c>
      <c r="I26" s="2">
        <v>0.0</v>
      </c>
    </row>
    <row r="27">
      <c r="A27" s="2" t="s">
        <v>86</v>
      </c>
      <c r="B27" s="2" t="s">
        <v>2</v>
      </c>
      <c r="C27" s="2">
        <v>0.0</v>
      </c>
      <c r="D27" s="2">
        <v>0.0</v>
      </c>
      <c r="E27" s="2">
        <v>0.0</v>
      </c>
      <c r="F27" s="7">
        <v>1.9999999999999998</v>
      </c>
      <c r="G27" s="2">
        <v>0.0</v>
      </c>
      <c r="H27" s="2">
        <v>254.6479089</v>
      </c>
      <c r="I27" s="2">
        <v>0.0</v>
      </c>
    </row>
    <row r="28">
      <c r="A28" s="2" t="s">
        <v>86</v>
      </c>
      <c r="B28" s="2" t="s">
        <v>4</v>
      </c>
      <c r="C28" s="2">
        <v>0.0</v>
      </c>
      <c r="D28" s="2">
        <v>0.0</v>
      </c>
      <c r="E28" s="2">
        <v>0.0</v>
      </c>
      <c r="F28" s="7">
        <v>2.7</v>
      </c>
      <c r="G28" s="2">
        <v>0.0</v>
      </c>
      <c r="H28" s="2">
        <v>10.72688123</v>
      </c>
      <c r="I28" s="2">
        <v>0.0</v>
      </c>
    </row>
    <row r="29">
      <c r="A29" s="2" t="s">
        <v>86</v>
      </c>
      <c r="B29" s="2" t="s">
        <v>6</v>
      </c>
      <c r="C29" s="2">
        <v>0.0</v>
      </c>
      <c r="D29" s="2">
        <v>4.735950925286613E19</v>
      </c>
      <c r="E29" s="2">
        <v>0.04735950925286613</v>
      </c>
      <c r="F29" s="2">
        <v>2.78</v>
      </c>
      <c r="G29" s="2">
        <v>0.13165943572296784</v>
      </c>
      <c r="H29" s="2">
        <v>8.408496924</v>
      </c>
      <c r="I29" s="2">
        <v>1.1070579602921509</v>
      </c>
    </row>
    <row r="30">
      <c r="A30" s="2" t="s">
        <v>86</v>
      </c>
      <c r="B30" s="2" t="s">
        <v>12</v>
      </c>
      <c r="C30" s="2">
        <v>2.0</v>
      </c>
      <c r="D30" s="2">
        <v>0.0</v>
      </c>
      <c r="E30" s="2">
        <v>0.0</v>
      </c>
      <c r="F30" s="7">
        <v>8.9</v>
      </c>
      <c r="G30" s="2">
        <v>0.0</v>
      </c>
      <c r="H30" s="2">
        <v>44.5000451259104</v>
      </c>
      <c r="I30" s="2">
        <v>0.0</v>
      </c>
    </row>
    <row r="31">
      <c r="A31" s="2" t="s">
        <v>86</v>
      </c>
      <c r="B31" s="2" t="s">
        <v>74</v>
      </c>
      <c r="C31" s="2">
        <v>0.0</v>
      </c>
      <c r="D31" s="2">
        <v>0.0</v>
      </c>
      <c r="E31" s="2">
        <v>0.0</v>
      </c>
      <c r="F31" s="7">
        <v>2.2</v>
      </c>
      <c r="G31" s="2">
        <v>0.0</v>
      </c>
      <c r="H31" s="2">
        <v>13.98634348</v>
      </c>
      <c r="I31" s="2">
        <v>0.0</v>
      </c>
    </row>
    <row r="32">
      <c r="A32" s="2" t="s">
        <v>86</v>
      </c>
      <c r="B32" s="2" t="s">
        <v>75</v>
      </c>
      <c r="C32" s="2">
        <v>340.0</v>
      </c>
      <c r="D32" s="2">
        <v>0.0</v>
      </c>
      <c r="E32" s="2">
        <v>0.0</v>
      </c>
      <c r="F32" s="7">
        <v>8.959999999999999</v>
      </c>
      <c r="G32" s="2">
        <v>0.0</v>
      </c>
      <c r="H32" s="2">
        <v>6.090112618</v>
      </c>
      <c r="I32" s="2">
        <v>0.0</v>
      </c>
    </row>
    <row r="33">
      <c r="A33" s="2" t="s">
        <v>86</v>
      </c>
      <c r="B33" s="2" t="s">
        <v>82</v>
      </c>
      <c r="C33" s="2">
        <v>0.0</v>
      </c>
      <c r="D33" s="2">
        <v>0.0</v>
      </c>
      <c r="E33" s="2">
        <v>0.0</v>
      </c>
      <c r="F33" s="2">
        <v>9.69</v>
      </c>
      <c r="G33" s="2">
        <v>0.0</v>
      </c>
      <c r="H33" s="2">
        <v>24.90282413547882</v>
      </c>
      <c r="I33" s="2">
        <v>0.0</v>
      </c>
    </row>
    <row r="34">
      <c r="A34" s="2" t="s">
        <v>86</v>
      </c>
      <c r="B34" s="2" t="s">
        <v>22</v>
      </c>
      <c r="C34" s="2">
        <v>0.0</v>
      </c>
      <c r="D34" s="2">
        <v>0.0</v>
      </c>
      <c r="E34" s="2">
        <v>0.0</v>
      </c>
      <c r="F34" s="2">
        <v>18.63</v>
      </c>
      <c r="G34" s="2">
        <v>0.0</v>
      </c>
      <c r="H34" s="2">
        <v>19053.34</v>
      </c>
      <c r="I34" s="2">
        <v>0.0</v>
      </c>
    </row>
    <row r="35">
      <c r="A35" s="2" t="s">
        <v>86</v>
      </c>
      <c r="B35" s="2" t="s">
        <v>84</v>
      </c>
      <c r="C35" s="2">
        <v>0.0</v>
      </c>
      <c r="D35" s="2">
        <v>0.0</v>
      </c>
      <c r="E35" s="2">
        <v>0.0</v>
      </c>
      <c r="F35" s="7">
        <v>2.33</v>
      </c>
      <c r="G35" s="2">
        <v>0.0</v>
      </c>
      <c r="H35" s="2">
        <v>4.130951538</v>
      </c>
      <c r="I35" s="2">
        <v>0.0</v>
      </c>
    </row>
    <row r="36">
      <c r="A36" s="2" t="s">
        <v>86</v>
      </c>
      <c r="B36" s="2" t="s">
        <v>28</v>
      </c>
      <c r="C36" s="2">
        <v>1000.0</v>
      </c>
      <c r="D36" s="2">
        <v>4.241150082346221E20</v>
      </c>
      <c r="E36" s="2">
        <v>0.4241150082346221</v>
      </c>
      <c r="F36" s="7">
        <v>0.9659999999999999</v>
      </c>
      <c r="G36" s="2">
        <v>0.4096950979546449</v>
      </c>
      <c r="H36" s="2">
        <v>4.2</v>
      </c>
      <c r="I36" s="2">
        <v>1.7207194114095088</v>
      </c>
    </row>
    <row r="37">
      <c r="A37" s="2" t="s">
        <v>86</v>
      </c>
      <c r="B37" s="2" t="s">
        <v>30</v>
      </c>
      <c r="C37" s="2">
        <v>0.0</v>
      </c>
      <c r="D37" s="2">
        <v>0.0</v>
      </c>
      <c r="E37" s="2">
        <v>0.0</v>
      </c>
      <c r="F37" s="7">
        <v>2.29</v>
      </c>
      <c r="G37" s="2">
        <v>0.0</v>
      </c>
      <c r="H37" s="2">
        <v>308.8887784</v>
      </c>
      <c r="I37" s="2">
        <v>0.0</v>
      </c>
    </row>
    <row r="38">
      <c r="A38" s="2" t="s">
        <v>86</v>
      </c>
      <c r="B38" s="2" t="s">
        <v>32</v>
      </c>
      <c r="C38" s="2">
        <v>0.0</v>
      </c>
      <c r="D38" s="2">
        <v>0.0</v>
      </c>
      <c r="E38" s="2">
        <v>0.0</v>
      </c>
      <c r="F38" s="7">
        <v>3.3299999999999996</v>
      </c>
      <c r="G38" s="2">
        <v>0.0</v>
      </c>
      <c r="H38" s="2">
        <v>67.97408314</v>
      </c>
      <c r="I38" s="2">
        <v>0.0</v>
      </c>
    </row>
    <row r="39">
      <c r="A39" s="2" t="s">
        <v>86</v>
      </c>
      <c r="B39" s="2" t="s">
        <v>36</v>
      </c>
      <c r="C39" s="2">
        <v>0.0</v>
      </c>
      <c r="D39" s="2">
        <v>8.482300164692441E19</v>
      </c>
      <c r="E39" s="2">
        <v>0.08482300164692441</v>
      </c>
      <c r="F39" s="7">
        <v>3.17</v>
      </c>
      <c r="G39" s="2">
        <v>0.26888891522075037</v>
      </c>
      <c r="H39" s="2">
        <v>64.5720543</v>
      </c>
      <c r="I39" s="2">
        <v>17.36270963430239</v>
      </c>
    </row>
    <row r="40">
      <c r="A40" s="2" t="s">
        <v>86</v>
      </c>
      <c r="B40" s="2" t="s">
        <v>38</v>
      </c>
      <c r="C40" s="2">
        <v>10.0</v>
      </c>
      <c r="D40" s="2">
        <v>7.987499321752048E19</v>
      </c>
      <c r="E40" s="2">
        <v>0.07987499321752048</v>
      </c>
      <c r="F40" s="7">
        <v>2.13</v>
      </c>
      <c r="G40" s="2">
        <v>0.17013373555331862</v>
      </c>
      <c r="H40" s="2">
        <v>2.046463887</v>
      </c>
      <c r="I40" s="2">
        <v>0.3481725457702745</v>
      </c>
    </row>
    <row r="41">
      <c r="A41" s="2" t="s">
        <v>86</v>
      </c>
      <c r="B41" s="2" t="s">
        <v>40</v>
      </c>
      <c r="C41" s="2">
        <v>300.0</v>
      </c>
      <c r="D41" s="2">
        <v>0.0</v>
      </c>
      <c r="E41" s="2">
        <v>0.0</v>
      </c>
      <c r="F41" s="2">
        <v>2.0</v>
      </c>
      <c r="G41" s="2">
        <v>0.0</v>
      </c>
      <c r="H41" s="2">
        <v>88.01299960362851</v>
      </c>
      <c r="I41" s="2">
        <v>0.0</v>
      </c>
    </row>
    <row r="42">
      <c r="A42" s="2" t="s">
        <v>86</v>
      </c>
      <c r="B42" s="2" t="s">
        <v>42</v>
      </c>
      <c r="C42" s="2">
        <v>0.0</v>
      </c>
      <c r="D42" s="2">
        <v>1.7671458676442588E18</v>
      </c>
      <c r="E42" s="2">
        <v>0.0017671458676442589</v>
      </c>
      <c r="F42" s="7">
        <v>2.81</v>
      </c>
      <c r="G42" s="2">
        <v>0.004965679888080368</v>
      </c>
      <c r="H42" s="2">
        <v>37.87056387</v>
      </c>
      <c r="I42" s="2">
        <v>0.188053097359522</v>
      </c>
    </row>
    <row r="43">
      <c r="A43" s="2" t="s">
        <v>86</v>
      </c>
      <c r="B43" s="2" t="s">
        <v>44</v>
      </c>
      <c r="C43" s="2">
        <v>15.0</v>
      </c>
      <c r="D43" s="2">
        <v>0.0</v>
      </c>
      <c r="E43" s="2">
        <v>0.0</v>
      </c>
      <c r="F43" s="2">
        <v>16.7</v>
      </c>
      <c r="G43" s="2">
        <v>0.0</v>
      </c>
      <c r="H43" s="2">
        <v>170.8356</v>
      </c>
      <c r="I43" s="2">
        <v>0.0</v>
      </c>
    </row>
    <row r="44">
      <c r="A44" s="2" t="s">
        <v>86</v>
      </c>
      <c r="B44" s="2" t="s">
        <v>46</v>
      </c>
      <c r="C44" s="2">
        <v>15.0</v>
      </c>
      <c r="D44" s="2">
        <v>0.0</v>
      </c>
      <c r="E44" s="2">
        <v>0.0</v>
      </c>
      <c r="F44" s="7">
        <v>13.699999999999998</v>
      </c>
      <c r="G44" s="2">
        <v>0.0</v>
      </c>
      <c r="H44" s="2">
        <v>25.81588696</v>
      </c>
      <c r="I44" s="2">
        <v>0.0</v>
      </c>
    </row>
    <row r="45">
      <c r="A45" s="2" t="s">
        <v>86</v>
      </c>
      <c r="B45" s="2" t="s">
        <v>48</v>
      </c>
      <c r="C45" s="2">
        <v>0.0</v>
      </c>
      <c r="D45" s="2">
        <v>0.0</v>
      </c>
      <c r="E45" s="2">
        <v>0.0</v>
      </c>
      <c r="F45" s="7">
        <v>0.9399999999999998</v>
      </c>
      <c r="G45" s="2">
        <v>0.0</v>
      </c>
      <c r="H45" s="2">
        <v>2.859521436</v>
      </c>
      <c r="I45" s="2">
        <v>0.0</v>
      </c>
    </row>
    <row r="46">
      <c r="A46" s="2" t="s">
        <v>86</v>
      </c>
      <c r="B46" s="2" t="s">
        <v>50</v>
      </c>
      <c r="C46" s="2">
        <v>0.0</v>
      </c>
      <c r="D46" s="2">
        <v>0.0</v>
      </c>
      <c r="E46" s="2">
        <v>0.0</v>
      </c>
      <c r="F46" s="7">
        <v>4.5</v>
      </c>
      <c r="G46" s="2">
        <v>0.0</v>
      </c>
      <c r="H46" s="2">
        <v>47.63335371</v>
      </c>
      <c r="I46" s="2">
        <v>0.0</v>
      </c>
    </row>
    <row r="47">
      <c r="A47" s="2" t="s">
        <v>86</v>
      </c>
      <c r="B47" s="2" t="s">
        <v>52</v>
      </c>
      <c r="C47" s="2">
        <v>0.0</v>
      </c>
      <c r="D47" s="2">
        <v>2.8274333882308137E18</v>
      </c>
      <c r="E47" s="2">
        <v>0.0028274333882308137</v>
      </c>
      <c r="F47" s="7">
        <v>5.209999999999999</v>
      </c>
      <c r="G47" s="2">
        <v>0.014730927952682537</v>
      </c>
      <c r="H47" s="2">
        <v>43.97783202</v>
      </c>
      <c r="I47" s="2">
        <v>0.6478342750017951</v>
      </c>
    </row>
    <row r="48">
      <c r="A48" s="2" t="s">
        <v>86</v>
      </c>
      <c r="B48" s="2" t="s">
        <v>56</v>
      </c>
      <c r="C48" s="2">
        <v>0.0</v>
      </c>
      <c r="D48" s="2">
        <v>2.1205750411731104E19</v>
      </c>
      <c r="E48" s="2">
        <v>0.021205750411731103</v>
      </c>
      <c r="F48" s="7">
        <v>19.3</v>
      </c>
      <c r="G48" s="2">
        <v>0.4092709829464103</v>
      </c>
      <c r="H48" s="2">
        <v>75.81493114</v>
      </c>
      <c r="I48" s="2">
        <v>31.02885138968221</v>
      </c>
    </row>
    <row r="49">
      <c r="A49" s="2" t="s">
        <v>86</v>
      </c>
      <c r="B49" s="2" t="s">
        <v>58</v>
      </c>
      <c r="C49" s="2">
        <v>0.0</v>
      </c>
      <c r="D49" s="2" t="s">
        <v>77</v>
      </c>
      <c r="E49" s="2" t="s">
        <v>77</v>
      </c>
      <c r="F49" s="7" t="s">
        <v>77</v>
      </c>
      <c r="G49" s="2" t="s">
        <v>77</v>
      </c>
      <c r="H49" s="2">
        <v>365.3054</v>
      </c>
      <c r="I49" s="2">
        <v>51643.83424305064</v>
      </c>
    </row>
    <row r="50">
      <c r="A50" s="2" t="s">
        <v>86</v>
      </c>
      <c r="B50" s="2" t="s">
        <v>60</v>
      </c>
      <c r="C50" s="2">
        <v>0.0</v>
      </c>
      <c r="D50" s="2">
        <v>0.0</v>
      </c>
      <c r="E50" s="2">
        <v>0.0</v>
      </c>
      <c r="F50" s="2">
        <v>4.8149999999999995</v>
      </c>
      <c r="G50" s="2">
        <v>0.0</v>
      </c>
      <c r="H50" s="2">
        <v>1065.070666154757</v>
      </c>
      <c r="I50" s="2">
        <v>0.0</v>
      </c>
    </row>
    <row r="51">
      <c r="A51" s="2" t="s">
        <v>86</v>
      </c>
      <c r="B51" s="2" t="s">
        <v>62</v>
      </c>
      <c r="C51" s="2">
        <v>0.0</v>
      </c>
      <c r="D51" s="2">
        <v>0.0</v>
      </c>
      <c r="E51" s="2">
        <v>0.0</v>
      </c>
      <c r="F51" s="2">
        <v>6.44</v>
      </c>
      <c r="G51" s="2">
        <v>0.0</v>
      </c>
      <c r="H51" s="2">
        <v>1008.6373963173792</v>
      </c>
      <c r="I51" s="2">
        <v>0.0</v>
      </c>
    </row>
    <row r="52">
      <c r="A52" s="2" t="s">
        <v>86</v>
      </c>
      <c r="B52" s="2" t="s">
        <v>64</v>
      </c>
      <c r="C52" s="2">
        <v>0.0</v>
      </c>
      <c r="D52" s="2">
        <v>0.0</v>
      </c>
      <c r="E52" s="2">
        <v>0.0</v>
      </c>
      <c r="F52" s="2">
        <v>7.685</v>
      </c>
      <c r="G52" s="2">
        <v>0.0</v>
      </c>
      <c r="H52" s="2">
        <v>1015.9485375966532</v>
      </c>
      <c r="I52" s="2">
        <v>0.0</v>
      </c>
    </row>
    <row r="53">
      <c r="A53" s="2" t="s">
        <v>83</v>
      </c>
      <c r="B53" s="2" t="s">
        <v>4</v>
      </c>
      <c r="C53" s="2">
        <v>80.0</v>
      </c>
      <c r="D53" s="2">
        <v>5.654866776461627E18</v>
      </c>
      <c r="E53" s="2">
        <v>0.005654866776461627</v>
      </c>
      <c r="F53" s="7">
        <v>2.7</v>
      </c>
      <c r="G53" s="2">
        <v>0.015268140296446395</v>
      </c>
      <c r="H53" s="2">
        <v>10.72688123</v>
      </c>
      <c r="I53" s="2">
        <v>0.16377952756295747</v>
      </c>
    </row>
    <row r="54">
      <c r="A54" s="2" t="s">
        <v>83</v>
      </c>
      <c r="B54" s="2" t="s">
        <v>6</v>
      </c>
      <c r="C54" s="2">
        <v>600.0</v>
      </c>
      <c r="D54" s="2">
        <v>4.241150082346221E19</v>
      </c>
      <c r="E54" s="2">
        <v>0.042411500823462206</v>
      </c>
      <c r="F54" s="2">
        <v>2.78</v>
      </c>
      <c r="G54" s="2">
        <v>0.11790397228922492</v>
      </c>
      <c r="H54" s="2">
        <v>8.408496924</v>
      </c>
      <c r="I54" s="2">
        <v>0.9913951883213289</v>
      </c>
    </row>
    <row r="55">
      <c r="A55" s="2" t="s">
        <v>83</v>
      </c>
      <c r="B55" s="2" t="s">
        <v>15</v>
      </c>
      <c r="C55" s="2">
        <v>3200.0</v>
      </c>
      <c r="D55" s="2">
        <v>2.2619467105846513E20</v>
      </c>
      <c r="E55" s="2">
        <v>0.22619467105846514</v>
      </c>
      <c r="F55" s="7">
        <v>8.959999999999999</v>
      </c>
      <c r="G55" s="2">
        <v>2.0267042526838472</v>
      </c>
      <c r="H55" s="2">
        <v>6.090112618</v>
      </c>
      <c r="I55" s="2">
        <v>12.342857142224158</v>
      </c>
    </row>
    <row r="56">
      <c r="A56" s="2" t="s">
        <v>83</v>
      </c>
      <c r="B56" s="2" t="s">
        <v>88</v>
      </c>
      <c r="C56" s="2">
        <v>4.0</v>
      </c>
      <c r="D56" s="2">
        <v>2.8274333882308138E17</v>
      </c>
      <c r="E56" s="2">
        <v>2.8274333882308137E-4</v>
      </c>
      <c r="G56" s="2">
        <v>0.0</v>
      </c>
      <c r="H56" s="2">
        <v>24.90282413547882</v>
      </c>
      <c r="I56" s="2">
        <v>0.0</v>
      </c>
    </row>
    <row r="57">
      <c r="A57" s="2" t="s">
        <v>83</v>
      </c>
      <c r="B57" s="2" t="s">
        <v>18</v>
      </c>
      <c r="C57" s="2">
        <v>20.0</v>
      </c>
      <c r="D57" s="2">
        <v>1.4137166941154068E18</v>
      </c>
      <c r="E57" s="2">
        <v>0.0014137166941154068</v>
      </c>
      <c r="F57" s="2">
        <v>6.0</v>
      </c>
      <c r="G57" s="2">
        <v>0.008482300164692442</v>
      </c>
      <c r="H57" s="2">
        <v>196.31</v>
      </c>
      <c r="I57" s="2">
        <v>1.6651603453307733</v>
      </c>
    </row>
    <row r="58">
      <c r="A58" s="2" t="s">
        <v>83</v>
      </c>
      <c r="B58" s="2" t="s">
        <v>28</v>
      </c>
      <c r="C58" s="2">
        <v>11500.0</v>
      </c>
      <c r="D58" s="2">
        <v>8.12887099116359E20</v>
      </c>
      <c r="E58" s="2">
        <v>0.812887099116359</v>
      </c>
      <c r="F58" s="7">
        <v>0.9659999999999999</v>
      </c>
      <c r="G58" s="2">
        <v>0.7852489377464027</v>
      </c>
      <c r="H58" s="2">
        <v>4.2</v>
      </c>
      <c r="I58" s="2">
        <v>3.2980455385348915</v>
      </c>
    </row>
    <row r="59">
      <c r="A59" s="2" t="s">
        <v>83</v>
      </c>
      <c r="B59" s="2" t="s">
        <v>36</v>
      </c>
      <c r="C59" s="2">
        <v>3260.0</v>
      </c>
      <c r="D59" s="2">
        <v>2.3043582114081132E20</v>
      </c>
      <c r="E59" s="2">
        <v>0.23043582114081132</v>
      </c>
      <c r="F59" s="7">
        <v>3.17</v>
      </c>
      <c r="G59" s="2">
        <v>0.7304815530163719</v>
      </c>
      <c r="H59" s="2">
        <v>64.5720543</v>
      </c>
      <c r="I59" s="2">
        <v>47.1686945065215</v>
      </c>
    </row>
    <row r="60">
      <c r="A60" s="2" t="s">
        <v>83</v>
      </c>
      <c r="B60" s="2" t="s">
        <v>38</v>
      </c>
      <c r="C60" s="2">
        <v>5120.0</v>
      </c>
      <c r="D60" s="2">
        <v>3.6191147369354415E20</v>
      </c>
      <c r="E60" s="2">
        <v>0.36191147369354415</v>
      </c>
      <c r="F60" s="7">
        <v>2.13</v>
      </c>
      <c r="G60" s="2">
        <v>0.770871438967249</v>
      </c>
      <c r="H60" s="2">
        <v>2.046463887</v>
      </c>
      <c r="I60" s="2">
        <v>1.5775605613661994</v>
      </c>
    </row>
    <row r="61">
      <c r="A61" s="2" t="s">
        <v>83</v>
      </c>
      <c r="B61" s="2" t="s">
        <v>42</v>
      </c>
      <c r="C61" s="2">
        <v>1000.0</v>
      </c>
      <c r="D61" s="2">
        <v>7.068583470577034E19</v>
      </c>
      <c r="E61" s="2">
        <v>0.07068583470577033</v>
      </c>
      <c r="F61" s="7">
        <v>2.81</v>
      </c>
      <c r="G61" s="2">
        <v>0.19862719552321464</v>
      </c>
      <c r="H61" s="2">
        <v>37.87056387</v>
      </c>
      <c r="I61" s="2">
        <v>7.5221238943808775</v>
      </c>
    </row>
    <row r="62">
      <c r="A62" s="2" t="s">
        <v>83</v>
      </c>
      <c r="B62" s="2" t="s">
        <v>52</v>
      </c>
      <c r="C62" s="2">
        <v>230.0</v>
      </c>
      <c r="D62" s="2">
        <v>1.6257741982327181E19</v>
      </c>
      <c r="E62" s="2">
        <v>0.01625774198232718</v>
      </c>
      <c r="F62" s="7">
        <v>5.209999999999999</v>
      </c>
      <c r="G62" s="2">
        <v>0.0847028357279246</v>
      </c>
      <c r="H62" s="2">
        <v>43.97783202</v>
      </c>
      <c r="I62" s="2">
        <v>3.7250470812603225</v>
      </c>
    </row>
    <row r="64">
      <c r="H64" s="2" t="s">
        <v>89</v>
      </c>
      <c r="I64" s="2">
        <v>860.4570613724645</v>
      </c>
    </row>
    <row r="65">
      <c r="H65" s="2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66</v>
      </c>
      <c r="C1" s="1" t="s">
        <v>81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80</v>
      </c>
      <c r="I1" s="6" t="s">
        <v>73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2" t="s">
        <v>91</v>
      </c>
      <c r="B2" s="2" t="s">
        <v>2</v>
      </c>
      <c r="C2" s="2">
        <v>0.0</v>
      </c>
      <c r="D2" s="2">
        <v>0.0</v>
      </c>
      <c r="E2" s="2">
        <v>0.0</v>
      </c>
      <c r="F2" s="7">
        <v>1.9999999999999998</v>
      </c>
      <c r="G2" s="2">
        <v>0.0</v>
      </c>
      <c r="H2" s="2">
        <v>254.6479089</v>
      </c>
      <c r="I2" s="2">
        <v>0.0</v>
      </c>
    </row>
    <row r="3">
      <c r="A3" s="2" t="s">
        <v>91</v>
      </c>
      <c r="B3" s="2" t="s">
        <v>4</v>
      </c>
      <c r="C3" s="2">
        <v>0.0</v>
      </c>
      <c r="D3" s="2">
        <v>0.0</v>
      </c>
      <c r="E3" s="2">
        <v>0.0</v>
      </c>
      <c r="F3" s="7">
        <v>2.7</v>
      </c>
      <c r="G3" s="2">
        <v>0.0</v>
      </c>
      <c r="H3" s="2">
        <v>10.72688123</v>
      </c>
      <c r="I3" s="2">
        <v>0.0</v>
      </c>
    </row>
    <row r="4">
      <c r="A4" s="2" t="s">
        <v>91</v>
      </c>
      <c r="B4" s="2" t="s">
        <v>12</v>
      </c>
      <c r="C4" s="2">
        <v>7.0</v>
      </c>
      <c r="D4" s="2">
        <v>4.948008429403924E17</v>
      </c>
      <c r="E4" s="2">
        <v>4.948008429403924E-4</v>
      </c>
      <c r="F4" s="7">
        <v>8.9</v>
      </c>
      <c r="G4" s="2">
        <v>0.004403727502169492</v>
      </c>
      <c r="H4" s="2">
        <v>44.5000451259104</v>
      </c>
      <c r="I4" s="2">
        <v>0.1959660725687551</v>
      </c>
    </row>
    <row r="5">
      <c r="A5" s="2" t="s">
        <v>91</v>
      </c>
      <c r="B5" s="2" t="s">
        <v>74</v>
      </c>
      <c r="C5" s="2">
        <v>0.0</v>
      </c>
      <c r="D5" s="2">
        <v>0.0</v>
      </c>
      <c r="E5" s="2">
        <v>0.0</v>
      </c>
      <c r="F5" s="7">
        <v>2.2</v>
      </c>
      <c r="G5" s="2">
        <v>0.0</v>
      </c>
      <c r="H5" s="2">
        <v>13.98634348</v>
      </c>
      <c r="I5" s="2">
        <v>0.0</v>
      </c>
    </row>
    <row r="6">
      <c r="A6" s="2" t="s">
        <v>91</v>
      </c>
      <c r="B6" s="2" t="s">
        <v>75</v>
      </c>
      <c r="C6" s="2">
        <v>3740.0</v>
      </c>
      <c r="D6" s="2">
        <v>2.643650217995811E20</v>
      </c>
      <c r="E6" s="2">
        <v>0.2643650217995811</v>
      </c>
      <c r="F6" s="7">
        <v>8.959999999999999</v>
      </c>
      <c r="G6" s="2">
        <v>2.3687105953242464</v>
      </c>
      <c r="H6" s="2">
        <v>6.090112618</v>
      </c>
      <c r="I6" s="2">
        <v>14.425714284974486</v>
      </c>
    </row>
    <row r="7">
      <c r="A7" s="2" t="s">
        <v>91</v>
      </c>
      <c r="B7" s="2" t="s">
        <v>76</v>
      </c>
      <c r="C7" s="2">
        <v>0.0</v>
      </c>
      <c r="D7" s="2">
        <v>0.0</v>
      </c>
      <c r="E7" s="2">
        <v>0.0</v>
      </c>
      <c r="F7" s="7">
        <v>2.33</v>
      </c>
      <c r="G7" s="2">
        <v>0.0</v>
      </c>
      <c r="H7" s="2">
        <v>4.130951538</v>
      </c>
      <c r="I7" s="2">
        <v>0.0</v>
      </c>
    </row>
    <row r="8">
      <c r="A8" s="2" t="s">
        <v>91</v>
      </c>
      <c r="B8" s="2" t="s">
        <v>28</v>
      </c>
      <c r="C8" s="2">
        <v>7500.0</v>
      </c>
      <c r="D8" s="2">
        <v>5.301437602932776E20</v>
      </c>
      <c r="E8" s="2">
        <v>0.5301437602932776</v>
      </c>
      <c r="F8" s="7">
        <v>0.9659999999999999</v>
      </c>
      <c r="G8" s="2">
        <v>0.5121188724433061</v>
      </c>
      <c r="H8" s="2">
        <v>4.2</v>
      </c>
      <c r="I8" s="2">
        <v>2.1508992642618856</v>
      </c>
    </row>
    <row r="9">
      <c r="A9" s="2" t="s">
        <v>91</v>
      </c>
      <c r="B9" s="2" t="s">
        <v>30</v>
      </c>
      <c r="C9" s="2">
        <v>0.0</v>
      </c>
      <c r="D9" s="2">
        <v>0.0</v>
      </c>
      <c r="E9" s="2">
        <v>0.0</v>
      </c>
      <c r="F9" s="2">
        <v>2.29</v>
      </c>
      <c r="G9" s="2">
        <v>0.0</v>
      </c>
      <c r="H9" s="2">
        <v>308.8887784</v>
      </c>
      <c r="I9" s="2">
        <v>0.0</v>
      </c>
    </row>
    <row r="10">
      <c r="A10" s="2" t="s">
        <v>91</v>
      </c>
      <c r="B10" s="2" t="s">
        <v>32</v>
      </c>
      <c r="C10" s="2">
        <v>0.0</v>
      </c>
      <c r="D10" s="2">
        <v>0.0</v>
      </c>
      <c r="E10" s="2">
        <v>0.0</v>
      </c>
      <c r="F10" s="7">
        <v>3.3299999999999996</v>
      </c>
      <c r="G10" s="2">
        <v>0.0</v>
      </c>
      <c r="H10" s="2">
        <v>67.97408314</v>
      </c>
      <c r="I10" s="2">
        <v>0.0</v>
      </c>
    </row>
    <row r="11">
      <c r="A11" s="2" t="s">
        <v>91</v>
      </c>
      <c r="B11" s="2" t="s">
        <v>36</v>
      </c>
      <c r="C11" s="2">
        <v>0.0</v>
      </c>
      <c r="D11" s="2">
        <v>0.0</v>
      </c>
      <c r="E11" s="2">
        <v>0.0</v>
      </c>
      <c r="F11" s="7">
        <v>3.17</v>
      </c>
      <c r="G11" s="2">
        <v>0.0</v>
      </c>
      <c r="H11" s="2">
        <v>64.5720543</v>
      </c>
      <c r="I11" s="2">
        <v>0.0</v>
      </c>
    </row>
    <row r="12">
      <c r="A12" s="2" t="s">
        <v>91</v>
      </c>
      <c r="B12" s="2" t="s">
        <v>38</v>
      </c>
      <c r="C12" s="2">
        <v>700.0</v>
      </c>
      <c r="D12" s="2">
        <v>4.948008429403924E19</v>
      </c>
      <c r="E12" s="2">
        <v>0.04948008429403924</v>
      </c>
      <c r="F12" s="7">
        <v>2.13</v>
      </c>
      <c r="G12" s="2">
        <v>0.10539257954630357</v>
      </c>
      <c r="H12" s="2">
        <v>2.046463887</v>
      </c>
      <c r="I12" s="2">
        <v>0.21568210799928508</v>
      </c>
    </row>
    <row r="13">
      <c r="A13" s="2" t="s">
        <v>91</v>
      </c>
      <c r="B13" s="2" t="s">
        <v>40</v>
      </c>
      <c r="C13" s="2">
        <v>0.0</v>
      </c>
      <c r="D13" s="2">
        <v>0.0</v>
      </c>
      <c r="E13" s="2">
        <v>0.0</v>
      </c>
      <c r="F13" s="2">
        <v>2.0</v>
      </c>
      <c r="G13" s="2">
        <v>0.0</v>
      </c>
      <c r="H13" s="2">
        <v>88.01299960362851</v>
      </c>
      <c r="I13" s="2">
        <v>0.0</v>
      </c>
    </row>
    <row r="14">
      <c r="A14" s="2" t="s">
        <v>91</v>
      </c>
      <c r="B14" s="2" t="s">
        <v>42</v>
      </c>
      <c r="C14" s="2">
        <v>0.0</v>
      </c>
      <c r="D14" s="2">
        <v>0.0</v>
      </c>
      <c r="E14" s="2">
        <v>0.0</v>
      </c>
      <c r="F14" s="7">
        <v>2.81</v>
      </c>
      <c r="G14" s="2">
        <v>0.0</v>
      </c>
      <c r="H14" s="2">
        <v>37.87056387</v>
      </c>
      <c r="I14" s="2">
        <v>0.0</v>
      </c>
    </row>
    <row r="15">
      <c r="A15" s="2" t="s">
        <v>91</v>
      </c>
      <c r="B15" s="2" t="s">
        <v>44</v>
      </c>
      <c r="C15" s="2">
        <v>165.0</v>
      </c>
      <c r="D15" s="2">
        <v>1.1663162726452105E19</v>
      </c>
      <c r="E15" s="2">
        <v>0.011663162726452105</v>
      </c>
      <c r="F15" s="7">
        <v>16.7</v>
      </c>
      <c r="G15" s="2">
        <v>0.19477481753175013</v>
      </c>
      <c r="H15" s="2">
        <v>170.8356</v>
      </c>
      <c r="I15" s="2">
        <v>33.274472817927055</v>
      </c>
    </row>
    <row r="16">
      <c r="A16" s="2" t="s">
        <v>91</v>
      </c>
      <c r="B16" s="2" t="s">
        <v>46</v>
      </c>
      <c r="C16" s="2">
        <v>165.0</v>
      </c>
      <c r="D16" s="2">
        <v>1.1663162726452105E19</v>
      </c>
      <c r="E16" s="2">
        <v>0.011663162726452105</v>
      </c>
      <c r="F16" s="7">
        <v>13.699999999999998</v>
      </c>
      <c r="G16" s="2">
        <v>0.1597853293523938</v>
      </c>
      <c r="H16" s="2">
        <v>25.81588696</v>
      </c>
      <c r="I16" s="2">
        <v>4.125000000427769</v>
      </c>
    </row>
    <row r="17">
      <c r="A17" s="2" t="s">
        <v>91</v>
      </c>
      <c r="B17" s="2" t="s">
        <v>48</v>
      </c>
      <c r="C17" s="2">
        <v>0.0</v>
      </c>
      <c r="D17" s="2">
        <v>0.0</v>
      </c>
      <c r="E17" s="2">
        <v>0.0</v>
      </c>
      <c r="F17" s="7">
        <v>0.9399999999999998</v>
      </c>
      <c r="G17" s="2">
        <v>0.0</v>
      </c>
      <c r="H17" s="2">
        <v>2.859521436</v>
      </c>
      <c r="I17" s="2">
        <v>0.0</v>
      </c>
    </row>
    <row r="18">
      <c r="A18" s="2" t="s">
        <v>91</v>
      </c>
      <c r="B18" s="2" t="s">
        <v>50</v>
      </c>
      <c r="C18" s="2">
        <v>0.0</v>
      </c>
      <c r="D18" s="2">
        <v>0.0</v>
      </c>
      <c r="E18" s="2">
        <v>0.0</v>
      </c>
      <c r="F18" s="7">
        <v>4.5</v>
      </c>
      <c r="G18" s="2">
        <v>0.0</v>
      </c>
      <c r="H18" s="2">
        <v>47.63335371</v>
      </c>
      <c r="I18" s="2">
        <v>0.0</v>
      </c>
    </row>
    <row r="19">
      <c r="A19" s="2" t="s">
        <v>91</v>
      </c>
      <c r="B19" s="2" t="s">
        <v>52</v>
      </c>
      <c r="C19" s="2">
        <v>0.0</v>
      </c>
      <c r="D19" s="2">
        <v>0.0</v>
      </c>
      <c r="E19" s="2">
        <v>0.0</v>
      </c>
      <c r="F19" s="7">
        <v>5.209999999999999</v>
      </c>
      <c r="G19" s="2">
        <v>0.0</v>
      </c>
      <c r="H19" s="2">
        <v>43.97783202</v>
      </c>
      <c r="I19" s="2">
        <v>0.0</v>
      </c>
    </row>
    <row r="20">
      <c r="A20" s="2" t="s">
        <v>91</v>
      </c>
      <c r="B20" s="2" t="s">
        <v>56</v>
      </c>
      <c r="C20" s="2">
        <v>0.0</v>
      </c>
      <c r="D20" s="2">
        <v>0.0</v>
      </c>
      <c r="E20" s="2">
        <v>0.0</v>
      </c>
      <c r="F20" s="7">
        <v>19.3</v>
      </c>
      <c r="G20" s="2">
        <v>0.0</v>
      </c>
      <c r="H20" s="2">
        <v>75.81493114</v>
      </c>
      <c r="I20" s="2">
        <v>0.0</v>
      </c>
    </row>
    <row r="21">
      <c r="A21" s="2" t="s">
        <v>91</v>
      </c>
      <c r="B21" s="2" t="s">
        <v>58</v>
      </c>
      <c r="H21" s="2">
        <v>26000.0</v>
      </c>
      <c r="I21" s="2">
        <v>234000.0</v>
      </c>
    </row>
    <row r="22">
      <c r="A22" s="2" t="s">
        <v>91</v>
      </c>
      <c r="B22" s="2" t="s">
        <v>60</v>
      </c>
      <c r="C22" s="2">
        <v>0.0</v>
      </c>
      <c r="D22" s="2">
        <v>0.0</v>
      </c>
      <c r="E22" s="2">
        <v>0.0</v>
      </c>
      <c r="F22" s="2">
        <v>4.8149999999999995</v>
      </c>
      <c r="G22" s="2">
        <v>0.0</v>
      </c>
      <c r="H22" s="2">
        <v>1065.070666154757</v>
      </c>
      <c r="I22" s="2">
        <v>0.0</v>
      </c>
    </row>
    <row r="23">
      <c r="A23" s="2" t="s">
        <v>91</v>
      </c>
      <c r="B23" s="2" t="s">
        <v>62</v>
      </c>
      <c r="C23" s="2">
        <v>0.0</v>
      </c>
      <c r="D23" s="2">
        <v>0.0</v>
      </c>
      <c r="E23" s="2">
        <v>0.0</v>
      </c>
      <c r="F23" s="2">
        <v>6.44</v>
      </c>
      <c r="G23" s="2">
        <v>0.0</v>
      </c>
      <c r="H23" s="2">
        <v>1008.6373963173792</v>
      </c>
      <c r="I23" s="2">
        <v>0.0</v>
      </c>
    </row>
    <row r="24">
      <c r="A24" s="2" t="s">
        <v>91</v>
      </c>
      <c r="B24" s="2" t="s">
        <v>64</v>
      </c>
      <c r="C24" s="2">
        <v>0.0</v>
      </c>
      <c r="D24" s="2">
        <v>0.0</v>
      </c>
      <c r="E24" s="2">
        <v>0.0</v>
      </c>
      <c r="F24" s="2">
        <v>7.685</v>
      </c>
      <c r="G24" s="2">
        <v>0.0</v>
      </c>
      <c r="H24" s="2">
        <v>1015.9485375966532</v>
      </c>
      <c r="I24" s="2">
        <v>0.0</v>
      </c>
    </row>
    <row r="25">
      <c r="A25" s="2" t="s">
        <v>83</v>
      </c>
      <c r="B25" s="2" t="s">
        <v>2</v>
      </c>
      <c r="C25" s="2">
        <v>7200.0</v>
      </c>
      <c r="D25" s="2">
        <v>5.0893800988154646E20</v>
      </c>
      <c r="E25" s="2">
        <v>0.5089380098815465</v>
      </c>
      <c r="F25" s="7">
        <v>1.9999999999999998</v>
      </c>
      <c r="G25" s="2">
        <v>1.0178760197630927</v>
      </c>
      <c r="H25" s="2">
        <v>254.6479089</v>
      </c>
      <c r="I25" s="2">
        <v>259.19999995212663</v>
      </c>
    </row>
    <row r="26">
      <c r="A26" s="2" t="s">
        <v>83</v>
      </c>
      <c r="B26" s="2" t="s">
        <v>4</v>
      </c>
      <c r="C26" s="2">
        <v>37960.0</v>
      </c>
      <c r="D26" s="2">
        <v>2.6832342854310423E21</v>
      </c>
      <c r="E26" s="2">
        <v>2.6832342854310425</v>
      </c>
      <c r="F26" s="7">
        <v>2.7</v>
      </c>
      <c r="G26" s="2">
        <v>7.244732570663815</v>
      </c>
      <c r="H26" s="2">
        <v>10.72688123</v>
      </c>
      <c r="I26" s="2">
        <v>77.71338582862333</v>
      </c>
    </row>
    <row r="27">
      <c r="A27" s="2" t="s">
        <v>83</v>
      </c>
      <c r="B27" s="2" t="s">
        <v>12</v>
      </c>
      <c r="C27" s="2">
        <v>220.0</v>
      </c>
      <c r="D27" s="2">
        <v>1.5550883635269476E19</v>
      </c>
      <c r="E27" s="2">
        <v>0.015550883635269476</v>
      </c>
      <c r="F27" s="7">
        <v>8.9</v>
      </c>
      <c r="G27" s="2">
        <v>0.13840286435389834</v>
      </c>
      <c r="H27" s="2">
        <v>44.5000451259104</v>
      </c>
      <c r="I27" s="2">
        <v>6.1589337093037315</v>
      </c>
    </row>
    <row r="28">
      <c r="A28" s="2" t="s">
        <v>83</v>
      </c>
      <c r="B28" s="2" t="s">
        <v>74</v>
      </c>
      <c r="C28" s="2">
        <v>9840.0</v>
      </c>
      <c r="D28" s="2">
        <v>6.955486135047802E20</v>
      </c>
      <c r="E28" s="2">
        <v>0.6955486135047803</v>
      </c>
      <c r="F28" s="7">
        <v>2.2</v>
      </c>
      <c r="G28" s="2">
        <v>1.5302069497105166</v>
      </c>
      <c r="H28" s="2">
        <v>13.98634348</v>
      </c>
      <c r="I28" s="2">
        <v>21.40199999413437</v>
      </c>
    </row>
    <row r="29">
      <c r="A29" s="2" t="s">
        <v>83</v>
      </c>
      <c r="B29" s="2" t="s">
        <v>75</v>
      </c>
      <c r="C29" s="2">
        <v>4400.0</v>
      </c>
      <c r="D29" s="2">
        <v>3.1101767270538956E20</v>
      </c>
      <c r="E29" s="2">
        <v>0.31101767270538955</v>
      </c>
      <c r="F29" s="7">
        <v>8.959999999999999</v>
      </c>
      <c r="G29" s="2">
        <v>2.78671834744029</v>
      </c>
      <c r="H29" s="2">
        <v>6.090112618</v>
      </c>
      <c r="I29" s="2">
        <v>16.971428570558217</v>
      </c>
    </row>
    <row r="30">
      <c r="A30" s="2" t="s">
        <v>83</v>
      </c>
      <c r="B30" s="2" t="s">
        <v>76</v>
      </c>
      <c r="C30" s="2">
        <v>280.0</v>
      </c>
      <c r="D30" s="2">
        <v>1.9792033717615698E19</v>
      </c>
      <c r="E30" s="2">
        <v>0.019792033717615697</v>
      </c>
      <c r="F30" s="7">
        <v>2.33</v>
      </c>
      <c r="G30" s="2">
        <v>0.04611543856204457</v>
      </c>
      <c r="H30" s="2">
        <v>4.130951538</v>
      </c>
      <c r="I30" s="2">
        <v>0.19050064185342253</v>
      </c>
    </row>
    <row r="31">
      <c r="A31" s="2" t="s">
        <v>83</v>
      </c>
      <c r="B31" s="2" t="s">
        <v>28</v>
      </c>
      <c r="C31" s="2">
        <v>285040.0</v>
      </c>
      <c r="D31" s="2">
        <v>2.014829032453278E22</v>
      </c>
      <c r="E31" s="2">
        <v>20.14829032453278</v>
      </c>
      <c r="F31" s="7">
        <v>0.9659999999999999</v>
      </c>
      <c r="G31" s="2">
        <v>19.463248453498665</v>
      </c>
      <c r="H31" s="2">
        <v>4.2</v>
      </c>
      <c r="I31" s="2">
        <v>81.7456435046944</v>
      </c>
    </row>
    <row r="32">
      <c r="A32" s="2" t="s">
        <v>83</v>
      </c>
      <c r="B32" s="2" t="s">
        <v>30</v>
      </c>
      <c r="C32" s="2">
        <v>440.0</v>
      </c>
      <c r="D32" s="2">
        <v>3.1101767270538953E19</v>
      </c>
      <c r="E32" s="2">
        <v>0.03110176727053895</v>
      </c>
      <c r="F32" s="2">
        <v>2.29</v>
      </c>
      <c r="G32" s="2">
        <v>0.0712230470495342</v>
      </c>
      <c r="H32" s="2">
        <v>308.8887784</v>
      </c>
      <c r="I32" s="2">
        <v>21.99999999705634</v>
      </c>
    </row>
    <row r="33">
      <c r="A33" s="2" t="s">
        <v>83</v>
      </c>
      <c r="B33" s="2" t="s">
        <v>32</v>
      </c>
      <c r="C33" s="2">
        <v>960.0</v>
      </c>
      <c r="D33" s="2">
        <v>6.785840131753953E19</v>
      </c>
      <c r="E33" s="2">
        <v>0.06785840131753954</v>
      </c>
      <c r="F33" s="7">
        <v>3.3299999999999996</v>
      </c>
      <c r="G33" s="2">
        <v>0.22596847638740664</v>
      </c>
      <c r="H33" s="2">
        <v>67.97408314</v>
      </c>
      <c r="I33" s="2">
        <v>15.360000000976706</v>
      </c>
    </row>
    <row r="34">
      <c r="A34" s="2" t="s">
        <v>83</v>
      </c>
      <c r="B34" s="2" t="s">
        <v>36</v>
      </c>
      <c r="C34" s="2">
        <v>8960.0</v>
      </c>
      <c r="D34" s="2">
        <v>6.333450789637023E20</v>
      </c>
      <c r="E34" s="2">
        <v>0.6333450789637023</v>
      </c>
      <c r="F34" s="7">
        <v>3.17</v>
      </c>
      <c r="G34" s="2">
        <v>2.007703900314936</v>
      </c>
      <c r="H34" s="2">
        <v>64.5720543</v>
      </c>
      <c r="I34" s="2">
        <v>129.64156526945786</v>
      </c>
    </row>
    <row r="35">
      <c r="A35" s="2" t="s">
        <v>83</v>
      </c>
      <c r="B35" s="2" t="s">
        <v>38</v>
      </c>
      <c r="C35" s="2">
        <v>87092.8</v>
      </c>
      <c r="D35" s="2">
        <v>6.156227264862715E21</v>
      </c>
      <c r="E35" s="2">
        <v>6.156227264862715</v>
      </c>
      <c r="F35" s="7">
        <v>2.13</v>
      </c>
      <c r="G35" s="2">
        <v>13.112764074157583</v>
      </c>
      <c r="H35" s="2">
        <v>2.046463887</v>
      </c>
      <c r="I35" s="2">
        <v>26.834798136514483</v>
      </c>
    </row>
    <row r="36">
      <c r="A36" s="2" t="s">
        <v>83</v>
      </c>
      <c r="B36" s="2" t="s">
        <v>40</v>
      </c>
      <c r="C36" s="2">
        <v>7056.0</v>
      </c>
      <c r="D36" s="2">
        <v>4.9875924968391554E20</v>
      </c>
      <c r="E36" s="2">
        <v>0.49875924968391555</v>
      </c>
      <c r="F36" s="2">
        <v>2.0</v>
      </c>
      <c r="G36" s="2">
        <v>0.9975184993678311</v>
      </c>
      <c r="H36" s="2">
        <v>88.01299960362851</v>
      </c>
      <c r="I36" s="2">
        <v>87.79459528947304</v>
      </c>
    </row>
    <row r="37">
      <c r="A37" s="2" t="s">
        <v>83</v>
      </c>
      <c r="B37" s="2" t="s">
        <v>42</v>
      </c>
      <c r="C37" s="2">
        <v>3440.0</v>
      </c>
      <c r="D37" s="2">
        <v>2.4315927138784998E20</v>
      </c>
      <c r="E37" s="2">
        <v>0.24315927138784998</v>
      </c>
      <c r="F37" s="7">
        <v>2.81</v>
      </c>
      <c r="G37" s="2">
        <v>0.6832775525998585</v>
      </c>
      <c r="H37" s="2">
        <v>37.87056387</v>
      </c>
      <c r="I37" s="2">
        <v>25.87610619667022</v>
      </c>
    </row>
    <row r="38">
      <c r="A38" s="2" t="s">
        <v>83</v>
      </c>
      <c r="B38" s="2" t="s">
        <v>44</v>
      </c>
      <c r="C38" s="2">
        <v>180.0</v>
      </c>
      <c r="D38" s="2">
        <v>1.2723450247038663E19</v>
      </c>
      <c r="E38" s="2">
        <v>0.012723450247038663</v>
      </c>
      <c r="F38" s="7">
        <v>16.7</v>
      </c>
      <c r="G38" s="2">
        <v>0.21248161912554567</v>
      </c>
      <c r="H38" s="2">
        <v>170.8356</v>
      </c>
      <c r="I38" s="2">
        <v>36.29942489228407</v>
      </c>
    </row>
    <row r="39">
      <c r="A39" s="2" t="s">
        <v>83</v>
      </c>
      <c r="B39" s="2" t="s">
        <v>46</v>
      </c>
      <c r="C39" s="2">
        <v>180.0</v>
      </c>
      <c r="D39" s="2">
        <v>1.2723450247038663E19</v>
      </c>
      <c r="E39" s="2">
        <v>0.012723450247038663</v>
      </c>
      <c r="F39" s="7">
        <v>13.699999999999998</v>
      </c>
      <c r="G39" s="2">
        <v>0.17431126838442965</v>
      </c>
      <c r="H39" s="2">
        <v>25.81588696</v>
      </c>
      <c r="I39" s="2">
        <v>4.500000000466658</v>
      </c>
    </row>
    <row r="40">
      <c r="A40" s="2" t="s">
        <v>83</v>
      </c>
      <c r="B40" s="2" t="s">
        <v>48</v>
      </c>
      <c r="C40" s="2">
        <v>2400.0</v>
      </c>
      <c r="D40" s="2">
        <v>1.6964600329384883E20</v>
      </c>
      <c r="E40" s="2">
        <v>0.16964600329384882</v>
      </c>
      <c r="F40" s="7">
        <v>0.9399999999999998</v>
      </c>
      <c r="G40" s="2">
        <v>0.15946724309621788</v>
      </c>
      <c r="H40" s="2">
        <v>2.859521436</v>
      </c>
      <c r="I40" s="2">
        <v>0.455999999973458</v>
      </c>
    </row>
    <row r="41">
      <c r="A41" s="2" t="s">
        <v>83</v>
      </c>
      <c r="B41" s="2" t="s">
        <v>50</v>
      </c>
      <c r="C41" s="2">
        <v>100.0</v>
      </c>
      <c r="D41" s="2">
        <v>7.068583470577035E18</v>
      </c>
      <c r="E41" s="2">
        <v>0.0070685834705770355</v>
      </c>
      <c r="F41" s="7">
        <v>4.5</v>
      </c>
      <c r="G41" s="2">
        <v>0.03180862561759666</v>
      </c>
      <c r="H41" s="2">
        <v>47.63335371</v>
      </c>
      <c r="I41" s="2">
        <v>1.515151515071949</v>
      </c>
    </row>
    <row r="42">
      <c r="A42" s="2" t="s">
        <v>83</v>
      </c>
      <c r="B42" s="2" t="s">
        <v>52</v>
      </c>
      <c r="C42" s="2">
        <v>692.0</v>
      </c>
      <c r="D42" s="2">
        <v>4.891459761639308E19</v>
      </c>
      <c r="E42" s="2">
        <v>0.04891459761639308</v>
      </c>
      <c r="F42" s="7">
        <v>5.209999999999999</v>
      </c>
      <c r="G42" s="2">
        <v>0.2548450535814079</v>
      </c>
      <c r="H42" s="2">
        <v>43.97783202</v>
      </c>
      <c r="I42" s="2">
        <v>11.207532957531056</v>
      </c>
    </row>
    <row r="43">
      <c r="A43" s="2" t="s">
        <v>83</v>
      </c>
      <c r="B43" s="2" t="s">
        <v>56</v>
      </c>
      <c r="C43" s="2">
        <v>2688.0</v>
      </c>
      <c r="D43" s="2">
        <v>1.900035236891107E20</v>
      </c>
      <c r="E43" s="2">
        <v>0.1900035236891107</v>
      </c>
      <c r="F43" s="7">
        <v>19.3</v>
      </c>
      <c r="G43" s="2">
        <v>3.6670680071998367</v>
      </c>
      <c r="H43" s="2">
        <v>75.81493114</v>
      </c>
      <c r="I43" s="2">
        <v>278.01850845155263</v>
      </c>
    </row>
    <row r="44">
      <c r="A44" s="2" t="s">
        <v>83</v>
      </c>
      <c r="B44" s="2" t="s">
        <v>60</v>
      </c>
      <c r="C44" s="2">
        <v>19.2</v>
      </c>
      <c r="D44" s="2">
        <v>1.3571680263507907E18</v>
      </c>
      <c r="E44" s="2">
        <v>0.0013571680263507906</v>
      </c>
      <c r="F44" s="2">
        <v>4.8149999999999995</v>
      </c>
      <c r="G44" s="2">
        <v>0.006534764046879056</v>
      </c>
      <c r="H44" s="2">
        <v>1065.070666154757</v>
      </c>
      <c r="I44" s="2">
        <v>6.959985496573632</v>
      </c>
    </row>
    <row r="45">
      <c r="A45" s="2" t="s">
        <v>83</v>
      </c>
      <c r="B45" s="2" t="s">
        <v>62</v>
      </c>
      <c r="C45" s="2">
        <v>12.8</v>
      </c>
      <c r="D45" s="2">
        <v>9.047786842338605E17</v>
      </c>
      <c r="E45" s="2">
        <v>9.047786842338605E-4</v>
      </c>
      <c r="F45" s="2">
        <v>6.44</v>
      </c>
      <c r="G45" s="2">
        <v>0.005826774726466062</v>
      </c>
      <c r="H45" s="2">
        <v>1008.6373963173792</v>
      </c>
      <c r="I45" s="2">
        <v>5.877102889030637</v>
      </c>
    </row>
    <row r="46">
      <c r="A46" s="2" t="s">
        <v>83</v>
      </c>
      <c r="B46" s="2" t="s">
        <v>64</v>
      </c>
      <c r="C46" s="2">
        <v>12.8</v>
      </c>
      <c r="D46" s="2">
        <v>9.047786842338605E17</v>
      </c>
      <c r="E46" s="2">
        <v>9.047786842338605E-4</v>
      </c>
      <c r="F46" s="2">
        <v>7.685</v>
      </c>
      <c r="G46" s="2">
        <v>0.006953224188337217</v>
      </c>
      <c r="H46" s="2">
        <v>1015.9485375966532</v>
      </c>
      <c r="I46" s="2">
        <v>7.064117945722872</v>
      </c>
    </row>
    <row r="47">
      <c r="A47" s="3" t="s">
        <v>85</v>
      </c>
      <c r="B47" s="2" t="s">
        <v>2</v>
      </c>
      <c r="C47" s="2">
        <v>0.0</v>
      </c>
      <c r="D47" s="2">
        <v>0.0</v>
      </c>
      <c r="E47" s="2">
        <v>0.0</v>
      </c>
      <c r="F47" s="7">
        <v>1.9999999999999998</v>
      </c>
      <c r="G47" s="2">
        <v>0.0</v>
      </c>
      <c r="H47" s="2">
        <v>254.6479089</v>
      </c>
      <c r="I47" s="2">
        <v>0.0</v>
      </c>
    </row>
    <row r="48">
      <c r="A48" s="3" t="s">
        <v>85</v>
      </c>
      <c r="B48" s="2" t="s">
        <v>4</v>
      </c>
      <c r="C48" s="2">
        <v>0.0</v>
      </c>
      <c r="D48" s="2">
        <v>0.0</v>
      </c>
      <c r="E48" s="2">
        <v>0.0</v>
      </c>
      <c r="F48" s="7">
        <v>2.7</v>
      </c>
      <c r="G48" s="2">
        <v>0.0</v>
      </c>
      <c r="H48" s="2">
        <v>10.72688123</v>
      </c>
      <c r="I48" s="2">
        <v>0.0</v>
      </c>
    </row>
    <row r="49">
      <c r="A49" s="3" t="s">
        <v>85</v>
      </c>
      <c r="B49" s="2" t="s">
        <v>6</v>
      </c>
      <c r="C49" s="2">
        <v>0.0</v>
      </c>
      <c r="D49" s="2">
        <v>0.0</v>
      </c>
      <c r="E49" s="2">
        <v>0.0</v>
      </c>
      <c r="F49" s="2">
        <v>2.78</v>
      </c>
      <c r="G49" s="2">
        <v>0.0</v>
      </c>
      <c r="H49" s="2">
        <v>8.408496924</v>
      </c>
      <c r="I49" s="2">
        <v>0.0</v>
      </c>
    </row>
    <row r="50">
      <c r="A50" s="3" t="s">
        <v>85</v>
      </c>
      <c r="B50" s="2" t="s">
        <v>12</v>
      </c>
      <c r="C50" s="2">
        <v>0.0</v>
      </c>
      <c r="D50" s="2">
        <v>0.0</v>
      </c>
      <c r="E50" s="2">
        <v>0.0</v>
      </c>
      <c r="F50" s="7">
        <v>8.9</v>
      </c>
      <c r="G50" s="2">
        <v>0.0</v>
      </c>
      <c r="H50" s="2">
        <v>44.5000451259104</v>
      </c>
      <c r="I50" s="2">
        <v>0.0</v>
      </c>
    </row>
    <row r="51">
      <c r="A51" s="3" t="s">
        <v>85</v>
      </c>
      <c r="B51" s="2" t="s">
        <v>74</v>
      </c>
      <c r="C51" s="2">
        <v>0.0</v>
      </c>
      <c r="D51" s="2">
        <v>0.0</v>
      </c>
      <c r="E51" s="2">
        <v>0.0</v>
      </c>
      <c r="F51" s="7">
        <v>2.2</v>
      </c>
      <c r="G51" s="2">
        <v>0.0</v>
      </c>
      <c r="H51" s="2">
        <v>13.98634348</v>
      </c>
      <c r="I51" s="2">
        <v>0.0</v>
      </c>
    </row>
    <row r="52">
      <c r="A52" s="3" t="s">
        <v>85</v>
      </c>
      <c r="B52" s="2" t="s">
        <v>75</v>
      </c>
      <c r="C52" s="2">
        <v>2068.333333333333</v>
      </c>
      <c r="D52" s="2">
        <v>1.4620186811643498E20</v>
      </c>
      <c r="E52" s="2">
        <v>0.14620186811643499</v>
      </c>
      <c r="F52" s="7">
        <v>8.959999999999999</v>
      </c>
      <c r="G52" s="2">
        <v>1.3099687383232574</v>
      </c>
      <c r="H52" s="2">
        <v>6.090112618</v>
      </c>
      <c r="I52" s="2">
        <v>11.737319895376386</v>
      </c>
    </row>
    <row r="53">
      <c r="A53" s="3" t="s">
        <v>85</v>
      </c>
      <c r="B53" s="2" t="s">
        <v>82</v>
      </c>
      <c r="C53" s="2">
        <v>0.0</v>
      </c>
      <c r="D53" s="2">
        <v>0.0</v>
      </c>
      <c r="E53" s="2">
        <v>0.0</v>
      </c>
      <c r="F53" s="2">
        <v>9.69</v>
      </c>
      <c r="G53" s="2">
        <v>0.0</v>
      </c>
      <c r="H53" s="2">
        <v>24.90282413547882</v>
      </c>
      <c r="I53" s="2">
        <v>0.0</v>
      </c>
    </row>
    <row r="54">
      <c r="A54" s="3" t="s">
        <v>85</v>
      </c>
      <c r="B54" s="2" t="s">
        <v>22</v>
      </c>
      <c r="C54" s="2">
        <v>26.0</v>
      </c>
      <c r="D54" s="2">
        <v>1.837831702350029E18</v>
      </c>
      <c r="E54" s="2">
        <v>0.001837831702350029</v>
      </c>
      <c r="F54" s="2">
        <v>18.63</v>
      </c>
      <c r="G54" s="2">
        <v>0.03423880461478104</v>
      </c>
      <c r="H54" s="2">
        <v>19053.34</v>
      </c>
      <c r="I54" s="2">
        <v>0.6378689299733707</v>
      </c>
    </row>
    <row r="55">
      <c r="A55" s="3" t="s">
        <v>85</v>
      </c>
      <c r="B55" s="2" t="s">
        <v>84</v>
      </c>
      <c r="C55" s="2">
        <v>130.0</v>
      </c>
      <c r="D55" s="2">
        <v>9.189158511750144E18</v>
      </c>
      <c r="E55" s="2">
        <v>0.009189158511750143</v>
      </c>
      <c r="F55" s="7">
        <v>2.33</v>
      </c>
      <c r="G55" s="2">
        <v>0.021410739332377835</v>
      </c>
      <c r="H55" s="2">
        <v>4.130951538</v>
      </c>
      <c r="I55" s="2">
        <v>0.04988702264444036</v>
      </c>
    </row>
    <row r="56">
      <c r="A56" s="3" t="s">
        <v>85</v>
      </c>
      <c r="B56" s="2" t="s">
        <v>28</v>
      </c>
      <c r="C56" s="2">
        <v>21500.0</v>
      </c>
      <c r="D56" s="2">
        <v>1.5197454461740623E21</v>
      </c>
      <c r="E56" s="2">
        <v>1.5197454461740623</v>
      </c>
      <c r="F56" s="7">
        <v>0.9659999999999999</v>
      </c>
      <c r="G56" s="2">
        <v>1.468074101004144</v>
      </c>
      <c r="H56" s="2">
        <v>4.2</v>
      </c>
      <c r="I56" s="2">
        <v>1.418159581570003</v>
      </c>
    </row>
    <row r="57">
      <c r="A57" s="3" t="s">
        <v>85</v>
      </c>
      <c r="B57" s="2" t="s">
        <v>30</v>
      </c>
      <c r="C57" s="2">
        <v>0.0</v>
      </c>
      <c r="D57" s="2">
        <v>0.0</v>
      </c>
      <c r="E57" s="2">
        <v>0.0</v>
      </c>
      <c r="F57" s="7">
        <v>2.29</v>
      </c>
      <c r="G57" s="2">
        <v>0.0</v>
      </c>
      <c r="H57" s="2">
        <v>308.8887784</v>
      </c>
      <c r="I57" s="2">
        <v>0.0</v>
      </c>
    </row>
    <row r="58">
      <c r="A58" s="3" t="s">
        <v>85</v>
      </c>
      <c r="B58" s="2" t="s">
        <v>32</v>
      </c>
      <c r="C58" s="2">
        <v>123.0</v>
      </c>
      <c r="D58" s="2">
        <v>8.694357668809753E18</v>
      </c>
      <c r="E58" s="2">
        <v>0.008694357668809752</v>
      </c>
      <c r="F58" s="7">
        <v>3.3299999999999996</v>
      </c>
      <c r="G58" s="2">
        <v>0.028952211037136473</v>
      </c>
      <c r="H58" s="2">
        <v>67.97408314</v>
      </c>
      <c r="I58" s="2">
        <v>0.09641086275366445</v>
      </c>
    </row>
    <row r="59">
      <c r="A59" s="3" t="s">
        <v>85</v>
      </c>
      <c r="B59" s="2" t="s">
        <v>36</v>
      </c>
      <c r="C59" s="2">
        <v>244.0</v>
      </c>
      <c r="D59" s="2">
        <v>1.7247343668207964E19</v>
      </c>
      <c r="E59" s="2">
        <v>0.017247343668207963</v>
      </c>
      <c r="F59" s="7">
        <v>3.17</v>
      </c>
      <c r="G59" s="2">
        <v>0.05467407942821924</v>
      </c>
      <c r="H59" s="2">
        <v>64.5720543</v>
      </c>
      <c r="I59" s="2">
        <v>0.173316831787455</v>
      </c>
    </row>
    <row r="60">
      <c r="A60" s="3" t="s">
        <v>85</v>
      </c>
      <c r="B60" s="2" t="s">
        <v>38</v>
      </c>
      <c r="C60" s="2">
        <v>3809.0</v>
      </c>
      <c r="D60" s="2">
        <v>2.6924234439427922E20</v>
      </c>
      <c r="E60" s="2">
        <v>0.26924234439427924</v>
      </c>
      <c r="F60" s="7">
        <v>2.13</v>
      </c>
      <c r="G60" s="2">
        <v>0.5734861935598148</v>
      </c>
      <c r="H60" s="2">
        <v>2.046463887</v>
      </c>
      <c r="I60" s="2">
        <v>1.2215255922824055</v>
      </c>
    </row>
    <row r="61">
      <c r="A61" s="3" t="s">
        <v>85</v>
      </c>
      <c r="B61" s="2" t="s">
        <v>40</v>
      </c>
      <c r="C61" s="2">
        <v>0.0</v>
      </c>
      <c r="D61" s="2">
        <v>0.0</v>
      </c>
      <c r="E61" s="2">
        <v>0.0</v>
      </c>
      <c r="F61" s="2">
        <v>2.0</v>
      </c>
      <c r="G61" s="2">
        <v>0.0</v>
      </c>
      <c r="H61" s="2">
        <v>88.01299960362851</v>
      </c>
      <c r="I61" s="2">
        <v>0.0</v>
      </c>
    </row>
    <row r="62">
      <c r="A62" s="3" t="s">
        <v>85</v>
      </c>
      <c r="B62" s="2" t="s">
        <v>42</v>
      </c>
      <c r="C62" s="2">
        <v>9.6</v>
      </c>
      <c r="D62" s="2">
        <v>6.785840131753953E17</v>
      </c>
      <c r="E62" s="2">
        <v>6.785840131753953E-4</v>
      </c>
      <c r="F62" s="7">
        <v>2.81</v>
      </c>
      <c r="G62" s="2">
        <v>0.001906821077022861</v>
      </c>
      <c r="H62" s="2">
        <v>37.87056387</v>
      </c>
      <c r="I62" s="2">
        <v>0.005358167226434239</v>
      </c>
    </row>
    <row r="63">
      <c r="A63" s="3" t="s">
        <v>85</v>
      </c>
      <c r="B63" s="2" t="s">
        <v>44</v>
      </c>
      <c r="C63" s="2">
        <v>18.333333333333332</v>
      </c>
      <c r="D63" s="2">
        <v>1.2959069696057897E18</v>
      </c>
      <c r="E63" s="2">
        <v>0.0012959069696057896</v>
      </c>
      <c r="F63" s="2">
        <v>16.7</v>
      </c>
      <c r="G63" s="2">
        <v>0.021641646392416686</v>
      </c>
      <c r="H63" s="2">
        <v>170.8356</v>
      </c>
      <c r="I63" s="2">
        <v>0.36141549475335866</v>
      </c>
    </row>
    <row r="64">
      <c r="A64" s="3" t="s">
        <v>85</v>
      </c>
      <c r="B64" s="2" t="s">
        <v>46</v>
      </c>
      <c r="C64" s="2">
        <v>18.333333333333332</v>
      </c>
      <c r="D64" s="2">
        <v>1.2959069696057897E18</v>
      </c>
      <c r="E64" s="2">
        <v>0.0012959069696057896</v>
      </c>
      <c r="F64" s="7">
        <v>13.699999999999998</v>
      </c>
      <c r="G64" s="2">
        <v>0.017753925483599314</v>
      </c>
      <c r="H64" s="2">
        <v>25.81588696</v>
      </c>
      <c r="I64" s="2">
        <v>0.24322877912531055</v>
      </c>
    </row>
    <row r="65">
      <c r="A65" s="3" t="s">
        <v>85</v>
      </c>
      <c r="B65" s="2" t="s">
        <v>48</v>
      </c>
      <c r="C65" s="2">
        <v>0.0</v>
      </c>
      <c r="D65" s="2">
        <v>0.0</v>
      </c>
      <c r="E65" s="2">
        <v>0.0</v>
      </c>
      <c r="F65" s="7">
        <v>0.9399999999999998</v>
      </c>
      <c r="G65" s="2">
        <v>0.0</v>
      </c>
      <c r="H65" s="2">
        <v>2.859521436</v>
      </c>
      <c r="I65" s="2">
        <v>0.0</v>
      </c>
    </row>
    <row r="66">
      <c r="A66" s="3" t="s">
        <v>85</v>
      </c>
      <c r="B66" s="2" t="s">
        <v>50</v>
      </c>
      <c r="C66" s="2">
        <v>0.0</v>
      </c>
      <c r="D66" s="2">
        <v>0.0</v>
      </c>
      <c r="E66" s="2">
        <v>0.0</v>
      </c>
      <c r="F66" s="7">
        <v>4.5</v>
      </c>
      <c r="G66" s="2">
        <v>0.0</v>
      </c>
      <c r="H66" s="2">
        <v>47.63335371</v>
      </c>
      <c r="I66" s="2">
        <v>0.0</v>
      </c>
    </row>
    <row r="67">
      <c r="A67" s="3" t="s">
        <v>85</v>
      </c>
      <c r="B67" s="2" t="s">
        <v>52</v>
      </c>
      <c r="C67" s="2">
        <v>24.0</v>
      </c>
      <c r="D67" s="2">
        <v>1.6964600329384883E18</v>
      </c>
      <c r="E67" s="2">
        <v>0.0016964600329384884</v>
      </c>
      <c r="F67" s="7">
        <v>5.209999999999999</v>
      </c>
      <c r="G67" s="2">
        <v>0.008838556771609524</v>
      </c>
      <c r="H67" s="2">
        <v>43.97783202</v>
      </c>
      <c r="I67" s="2">
        <v>0.04604888078008561</v>
      </c>
    </row>
    <row r="68">
      <c r="A68" s="3" t="s">
        <v>85</v>
      </c>
      <c r="B68" s="2" t="s">
        <v>56</v>
      </c>
      <c r="C68" s="2">
        <v>500.0</v>
      </c>
      <c r="D68" s="2">
        <v>3.534291735288517E19</v>
      </c>
      <c r="E68" s="2">
        <v>0.03534291735288517</v>
      </c>
      <c r="F68" s="7">
        <v>19.3</v>
      </c>
      <c r="G68" s="2">
        <v>0.6821183049106837</v>
      </c>
      <c r="H68" s="2">
        <v>75.81493114</v>
      </c>
      <c r="I68" s="2">
        <v>13.164883284776195</v>
      </c>
    </row>
    <row r="69">
      <c r="A69" s="3" t="s">
        <v>85</v>
      </c>
      <c r="B69" s="2" t="s">
        <v>60</v>
      </c>
      <c r="C69" s="2">
        <v>0.0</v>
      </c>
      <c r="D69" s="2">
        <v>0.0</v>
      </c>
      <c r="E69" s="2">
        <v>0.0</v>
      </c>
      <c r="F69" s="2">
        <v>4.8149999999999995</v>
      </c>
      <c r="G69" s="2">
        <v>0.0</v>
      </c>
      <c r="H69" s="2">
        <v>1065.070666154757</v>
      </c>
      <c r="I69" s="2">
        <v>0.0</v>
      </c>
    </row>
    <row r="70">
      <c r="A70" s="3" t="s">
        <v>85</v>
      </c>
      <c r="B70" s="2" t="s">
        <v>62</v>
      </c>
      <c r="C70" s="2">
        <v>0.0</v>
      </c>
      <c r="D70" s="2">
        <v>0.0</v>
      </c>
      <c r="E70" s="2">
        <v>0.0</v>
      </c>
      <c r="F70" s="2">
        <v>6.44</v>
      </c>
      <c r="G70" s="2">
        <v>0.0</v>
      </c>
      <c r="H70" s="2">
        <v>1008.6373963173792</v>
      </c>
      <c r="I70" s="2">
        <v>0.0</v>
      </c>
    </row>
    <row r="71">
      <c r="A71" s="3" t="s">
        <v>85</v>
      </c>
      <c r="B71" s="2" t="s">
        <v>64</v>
      </c>
      <c r="C71" s="2">
        <v>0.0</v>
      </c>
      <c r="D71" s="2">
        <v>0.0</v>
      </c>
      <c r="E71" s="2">
        <v>0.0</v>
      </c>
      <c r="F71" s="2">
        <v>7.685</v>
      </c>
      <c r="G71" s="2">
        <v>0.0</v>
      </c>
      <c r="H71" s="2">
        <v>1015.9485375966532</v>
      </c>
      <c r="I71" s="2">
        <v>0.0</v>
      </c>
    </row>
    <row r="73">
      <c r="H73" s="4" t="s">
        <v>78</v>
      </c>
      <c r="I73" s="2">
        <v>1206.3299391109613</v>
      </c>
    </row>
    <row r="74">
      <c r="H74" s="4" t="s">
        <v>79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66</v>
      </c>
      <c r="C1" s="1" t="s">
        <v>81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80</v>
      </c>
      <c r="I1" s="6" t="s">
        <v>73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2" t="s">
        <v>91</v>
      </c>
      <c r="B2" s="2" t="s">
        <v>2</v>
      </c>
      <c r="C2" s="2">
        <v>0.0</v>
      </c>
      <c r="D2" s="2">
        <v>0.0</v>
      </c>
      <c r="E2" s="2">
        <v>0.0</v>
      </c>
      <c r="F2" s="7">
        <v>1.9999999999999998</v>
      </c>
      <c r="G2" s="2">
        <v>0.0</v>
      </c>
      <c r="H2" s="2">
        <v>254.6479089</v>
      </c>
      <c r="I2" s="2">
        <v>0.0</v>
      </c>
    </row>
    <row r="3">
      <c r="A3" s="2" t="s">
        <v>91</v>
      </c>
      <c r="B3" s="2" t="s">
        <v>4</v>
      </c>
      <c r="C3" s="2">
        <v>0.0</v>
      </c>
      <c r="D3" s="2">
        <v>0.0</v>
      </c>
      <c r="E3" s="2">
        <v>0.0</v>
      </c>
      <c r="F3" s="7">
        <v>2.7</v>
      </c>
      <c r="G3" s="2">
        <v>0.0</v>
      </c>
      <c r="H3" s="2">
        <v>10.72688123</v>
      </c>
      <c r="I3" s="2">
        <v>0.0</v>
      </c>
    </row>
    <row r="4">
      <c r="A4" s="2" t="s">
        <v>91</v>
      </c>
      <c r="B4" s="2" t="s">
        <v>12</v>
      </c>
      <c r="C4" s="2">
        <v>7.0</v>
      </c>
      <c r="D4" s="2">
        <v>4.948008429403924E17</v>
      </c>
      <c r="E4" s="2">
        <v>4.948008429403924E-4</v>
      </c>
      <c r="F4" s="7">
        <v>8.9</v>
      </c>
      <c r="G4" s="2">
        <v>0.004403727502169492</v>
      </c>
      <c r="H4" s="2">
        <v>44.5000451259104</v>
      </c>
      <c r="I4" s="2">
        <v>0.1959660725687551</v>
      </c>
    </row>
    <row r="5">
      <c r="A5" s="2" t="s">
        <v>91</v>
      </c>
      <c r="B5" s="2" t="s">
        <v>74</v>
      </c>
      <c r="C5" s="2">
        <v>0.0</v>
      </c>
      <c r="D5" s="2">
        <v>0.0</v>
      </c>
      <c r="E5" s="2">
        <v>0.0</v>
      </c>
      <c r="F5" s="7">
        <v>2.2</v>
      </c>
      <c r="G5" s="2">
        <v>0.0</v>
      </c>
      <c r="H5" s="2">
        <v>13.98634348</v>
      </c>
      <c r="I5" s="2">
        <v>0.0</v>
      </c>
    </row>
    <row r="6">
      <c r="A6" s="2" t="s">
        <v>91</v>
      </c>
      <c r="B6" s="2" t="s">
        <v>75</v>
      </c>
      <c r="C6" s="2">
        <v>3740.0</v>
      </c>
      <c r="D6" s="2">
        <v>2.643650217995811E20</v>
      </c>
      <c r="E6" s="2">
        <v>0.2643650217995811</v>
      </c>
      <c r="F6" s="7">
        <v>8.959999999999999</v>
      </c>
      <c r="G6" s="2">
        <v>2.3687105953242464</v>
      </c>
      <c r="H6" s="2">
        <v>6.090112618</v>
      </c>
      <c r="I6" s="2">
        <v>14.425714284974486</v>
      </c>
    </row>
    <row r="7">
      <c r="A7" s="2" t="s">
        <v>91</v>
      </c>
      <c r="B7" s="2" t="s">
        <v>76</v>
      </c>
      <c r="C7" s="2">
        <v>0.0</v>
      </c>
      <c r="D7" s="2">
        <v>0.0</v>
      </c>
      <c r="E7" s="2">
        <v>0.0</v>
      </c>
      <c r="F7" s="7">
        <v>2.33</v>
      </c>
      <c r="G7" s="2">
        <v>0.0</v>
      </c>
      <c r="H7" s="2">
        <v>4.130951538</v>
      </c>
      <c r="I7" s="2">
        <v>0.0</v>
      </c>
    </row>
    <row r="8">
      <c r="A8" s="2" t="s">
        <v>91</v>
      </c>
      <c r="B8" s="2" t="s">
        <v>28</v>
      </c>
      <c r="C8" s="2">
        <v>7500.0</v>
      </c>
      <c r="D8" s="2">
        <v>5.301437602932776E20</v>
      </c>
      <c r="E8" s="2">
        <v>0.5301437602932776</v>
      </c>
      <c r="F8" s="7">
        <v>0.9659999999999999</v>
      </c>
      <c r="G8" s="2">
        <v>0.5121188724433061</v>
      </c>
      <c r="H8" s="2">
        <v>4.2</v>
      </c>
      <c r="I8" s="2">
        <v>2.1508992642618856</v>
      </c>
    </row>
    <row r="9">
      <c r="A9" s="2" t="s">
        <v>91</v>
      </c>
      <c r="B9" s="2" t="s">
        <v>30</v>
      </c>
      <c r="C9" s="2">
        <v>0.0</v>
      </c>
      <c r="D9" s="2">
        <v>0.0</v>
      </c>
      <c r="E9" s="2">
        <v>0.0</v>
      </c>
      <c r="F9" s="2">
        <v>2.29</v>
      </c>
      <c r="G9" s="2">
        <v>0.0</v>
      </c>
      <c r="H9" s="2">
        <v>308.8887784</v>
      </c>
      <c r="I9" s="2">
        <v>0.0</v>
      </c>
    </row>
    <row r="10">
      <c r="A10" s="2" t="s">
        <v>91</v>
      </c>
      <c r="B10" s="2" t="s">
        <v>32</v>
      </c>
      <c r="C10" s="2">
        <v>0.0</v>
      </c>
      <c r="D10" s="2">
        <v>0.0</v>
      </c>
      <c r="E10" s="2">
        <v>0.0</v>
      </c>
      <c r="F10" s="7">
        <v>3.3299999999999996</v>
      </c>
      <c r="G10" s="2">
        <v>0.0</v>
      </c>
      <c r="H10" s="2">
        <v>67.97408314</v>
      </c>
      <c r="I10" s="2">
        <v>0.0</v>
      </c>
    </row>
    <row r="11">
      <c r="A11" s="2" t="s">
        <v>91</v>
      </c>
      <c r="B11" s="2" t="s">
        <v>36</v>
      </c>
      <c r="C11" s="2">
        <v>0.0</v>
      </c>
      <c r="D11" s="2">
        <v>0.0</v>
      </c>
      <c r="E11" s="2">
        <v>0.0</v>
      </c>
      <c r="F11" s="7">
        <v>3.17</v>
      </c>
      <c r="G11" s="2">
        <v>0.0</v>
      </c>
      <c r="H11" s="2">
        <v>64.5720543</v>
      </c>
      <c r="I11" s="2">
        <v>0.0</v>
      </c>
    </row>
    <row r="12">
      <c r="A12" s="2" t="s">
        <v>91</v>
      </c>
      <c r="B12" s="2" t="s">
        <v>38</v>
      </c>
      <c r="C12" s="2">
        <v>700.0</v>
      </c>
      <c r="D12" s="2">
        <v>4.948008429403924E19</v>
      </c>
      <c r="E12" s="2">
        <v>0.04948008429403924</v>
      </c>
      <c r="F12" s="7">
        <v>2.13</v>
      </c>
      <c r="G12" s="2">
        <v>0.10539257954630357</v>
      </c>
      <c r="H12" s="2">
        <v>2.046463887</v>
      </c>
      <c r="I12" s="2">
        <v>0.21568210799928508</v>
      </c>
    </row>
    <row r="13">
      <c r="A13" s="2" t="s">
        <v>91</v>
      </c>
      <c r="B13" s="2" t="s">
        <v>40</v>
      </c>
      <c r="C13" s="2">
        <v>0.0</v>
      </c>
      <c r="D13" s="2">
        <v>0.0</v>
      </c>
      <c r="E13" s="2">
        <v>0.0</v>
      </c>
      <c r="F13" s="2">
        <v>2.0</v>
      </c>
      <c r="G13" s="2">
        <v>0.0</v>
      </c>
      <c r="H13" s="2">
        <v>88.01299960362851</v>
      </c>
      <c r="I13" s="2">
        <v>0.0</v>
      </c>
    </row>
    <row r="14">
      <c r="A14" s="2" t="s">
        <v>91</v>
      </c>
      <c r="B14" s="2" t="s">
        <v>42</v>
      </c>
      <c r="C14" s="2">
        <v>0.0</v>
      </c>
      <c r="D14" s="2">
        <v>0.0</v>
      </c>
      <c r="E14" s="2">
        <v>0.0</v>
      </c>
      <c r="F14" s="7">
        <v>2.81</v>
      </c>
      <c r="G14" s="2">
        <v>0.0</v>
      </c>
      <c r="H14" s="2">
        <v>37.87056387</v>
      </c>
      <c r="I14" s="2">
        <v>0.0</v>
      </c>
    </row>
    <row r="15">
      <c r="A15" s="2" t="s">
        <v>91</v>
      </c>
      <c r="B15" s="2" t="s">
        <v>44</v>
      </c>
      <c r="C15" s="2">
        <v>165.0</v>
      </c>
      <c r="D15" s="2">
        <v>1.1663162726452105E19</v>
      </c>
      <c r="E15" s="2">
        <v>0.011663162726452105</v>
      </c>
      <c r="F15" s="7">
        <v>16.7</v>
      </c>
      <c r="G15" s="2">
        <v>0.19477481753175013</v>
      </c>
      <c r="H15" s="2">
        <v>170.8356</v>
      </c>
      <c r="I15" s="2">
        <v>33.274472817927055</v>
      </c>
    </row>
    <row r="16">
      <c r="A16" s="2" t="s">
        <v>91</v>
      </c>
      <c r="B16" s="2" t="s">
        <v>46</v>
      </c>
      <c r="C16" s="2">
        <v>165.0</v>
      </c>
      <c r="D16" s="2">
        <v>1.1663162726452105E19</v>
      </c>
      <c r="E16" s="2">
        <v>0.011663162726452105</v>
      </c>
      <c r="F16" s="7">
        <v>13.699999999999998</v>
      </c>
      <c r="G16" s="2">
        <v>0.1597853293523938</v>
      </c>
      <c r="H16" s="2">
        <v>25.81588696</v>
      </c>
      <c r="I16" s="2">
        <v>4.125000000427769</v>
      </c>
    </row>
    <row r="17">
      <c r="A17" s="2" t="s">
        <v>91</v>
      </c>
      <c r="B17" s="2" t="s">
        <v>48</v>
      </c>
      <c r="C17" s="2">
        <v>0.0</v>
      </c>
      <c r="D17" s="2">
        <v>0.0</v>
      </c>
      <c r="E17" s="2">
        <v>0.0</v>
      </c>
      <c r="F17" s="7">
        <v>0.9399999999999998</v>
      </c>
      <c r="G17" s="2">
        <v>0.0</v>
      </c>
      <c r="H17" s="2">
        <v>2.859521436</v>
      </c>
      <c r="I17" s="2">
        <v>0.0</v>
      </c>
    </row>
    <row r="18">
      <c r="A18" s="2" t="s">
        <v>91</v>
      </c>
      <c r="B18" s="2" t="s">
        <v>50</v>
      </c>
      <c r="C18" s="2">
        <v>0.0</v>
      </c>
      <c r="D18" s="2">
        <v>0.0</v>
      </c>
      <c r="E18" s="2">
        <v>0.0</v>
      </c>
      <c r="F18" s="7">
        <v>4.5</v>
      </c>
      <c r="G18" s="2">
        <v>0.0</v>
      </c>
      <c r="H18" s="2">
        <v>47.63335371</v>
      </c>
      <c r="I18" s="2">
        <v>0.0</v>
      </c>
    </row>
    <row r="19">
      <c r="A19" s="2" t="s">
        <v>91</v>
      </c>
      <c r="B19" s="2" t="s">
        <v>52</v>
      </c>
      <c r="C19" s="2">
        <v>0.0</v>
      </c>
      <c r="D19" s="2">
        <v>0.0</v>
      </c>
      <c r="E19" s="2">
        <v>0.0</v>
      </c>
      <c r="F19" s="7">
        <v>5.209999999999999</v>
      </c>
      <c r="G19" s="2">
        <v>0.0</v>
      </c>
      <c r="H19" s="2">
        <v>43.97783202</v>
      </c>
      <c r="I19" s="2">
        <v>0.0</v>
      </c>
    </row>
    <row r="20">
      <c r="A20" s="2" t="s">
        <v>91</v>
      </c>
      <c r="B20" s="2" t="s">
        <v>56</v>
      </c>
      <c r="C20" s="2">
        <v>0.0</v>
      </c>
      <c r="D20" s="2">
        <v>0.0</v>
      </c>
      <c r="E20" s="2">
        <v>0.0</v>
      </c>
      <c r="F20" s="7">
        <v>19.3</v>
      </c>
      <c r="G20" s="2">
        <v>0.0</v>
      </c>
      <c r="H20" s="2">
        <v>75.81493114</v>
      </c>
      <c r="I20" s="2">
        <v>0.0</v>
      </c>
    </row>
    <row r="21">
      <c r="A21" s="2" t="s">
        <v>91</v>
      </c>
      <c r="B21" s="2" t="s">
        <v>58</v>
      </c>
      <c r="H21" s="2">
        <v>26000.0</v>
      </c>
      <c r="I21" s="2">
        <v>234000.0</v>
      </c>
    </row>
    <row r="22">
      <c r="A22" s="2" t="s">
        <v>91</v>
      </c>
      <c r="B22" s="2" t="s">
        <v>60</v>
      </c>
      <c r="C22" s="2">
        <v>0.0</v>
      </c>
      <c r="D22" s="2">
        <v>0.0</v>
      </c>
      <c r="E22" s="2">
        <v>0.0</v>
      </c>
      <c r="F22" s="2">
        <v>4.8149999999999995</v>
      </c>
      <c r="G22" s="2">
        <v>0.0</v>
      </c>
      <c r="H22" s="2">
        <v>1065.070666154757</v>
      </c>
      <c r="I22" s="2">
        <v>0.0</v>
      </c>
    </row>
    <row r="23">
      <c r="A23" s="2" t="s">
        <v>91</v>
      </c>
      <c r="B23" s="2" t="s">
        <v>62</v>
      </c>
      <c r="C23" s="2">
        <v>0.0</v>
      </c>
      <c r="D23" s="2">
        <v>0.0</v>
      </c>
      <c r="E23" s="2">
        <v>0.0</v>
      </c>
      <c r="F23" s="2">
        <v>6.44</v>
      </c>
      <c r="G23" s="2">
        <v>0.0</v>
      </c>
      <c r="H23" s="2">
        <v>1008.6373963173792</v>
      </c>
      <c r="I23" s="2">
        <v>0.0</v>
      </c>
    </row>
    <row r="24">
      <c r="A24" s="2" t="s">
        <v>91</v>
      </c>
      <c r="B24" s="2" t="s">
        <v>64</v>
      </c>
      <c r="C24" s="2">
        <v>0.0</v>
      </c>
      <c r="D24" s="2">
        <v>0.0</v>
      </c>
      <c r="E24" s="2">
        <v>0.0</v>
      </c>
      <c r="F24" s="2">
        <v>7.685</v>
      </c>
      <c r="G24" s="2">
        <v>0.0</v>
      </c>
      <c r="H24" s="2">
        <v>1015.9485375966532</v>
      </c>
      <c r="I24" s="2">
        <v>0.0</v>
      </c>
    </row>
    <row r="25">
      <c r="A25" s="2" t="s">
        <v>83</v>
      </c>
      <c r="B25" s="2" t="s">
        <v>2</v>
      </c>
      <c r="C25" s="2">
        <v>4800.0</v>
      </c>
      <c r="D25" s="2">
        <v>4.241150082346221E19</v>
      </c>
      <c r="E25" s="2">
        <v>0.042411500823462206</v>
      </c>
      <c r="F25" s="7">
        <v>1.9999999999999998</v>
      </c>
      <c r="G25" s="2">
        <v>0.0848230016469244</v>
      </c>
      <c r="H25" s="2">
        <v>254.6479089</v>
      </c>
      <c r="I25" s="2">
        <v>21.599999996010556</v>
      </c>
    </row>
    <row r="26">
      <c r="A26" s="2" t="s">
        <v>83</v>
      </c>
      <c r="B26" s="2" t="s">
        <v>4</v>
      </c>
      <c r="C26" s="2">
        <v>37960.0</v>
      </c>
      <c r="D26" s="2">
        <v>3.354042856788803E20</v>
      </c>
      <c r="E26" s="2">
        <v>0.3354042856788803</v>
      </c>
      <c r="F26" s="7">
        <v>2.7</v>
      </c>
      <c r="G26" s="2">
        <v>0.9055915713329769</v>
      </c>
      <c r="H26" s="2">
        <v>10.72688123</v>
      </c>
      <c r="I26" s="2">
        <v>9.714173228577916</v>
      </c>
    </row>
    <row r="27">
      <c r="A27" s="2" t="s">
        <v>83</v>
      </c>
      <c r="B27" s="2" t="s">
        <v>6</v>
      </c>
      <c r="C27" s="2">
        <v>0.0</v>
      </c>
      <c r="D27" s="2">
        <v>0.0</v>
      </c>
      <c r="E27" s="2">
        <v>0.0</v>
      </c>
      <c r="F27" s="2">
        <v>2.78</v>
      </c>
      <c r="G27" s="2">
        <v>0.0</v>
      </c>
      <c r="H27" s="2">
        <v>8.408496924</v>
      </c>
      <c r="I27" s="2">
        <v>0.0</v>
      </c>
    </row>
    <row r="28">
      <c r="A28" s="2" t="s">
        <v>83</v>
      </c>
      <c r="B28" s="2" t="s">
        <v>12</v>
      </c>
      <c r="C28" s="2">
        <v>220.0</v>
      </c>
      <c r="D28" s="2">
        <v>1.9438604544086845E18</v>
      </c>
      <c r="E28" s="2">
        <v>0.0019438604544086845</v>
      </c>
      <c r="F28" s="7">
        <v>8.9</v>
      </c>
      <c r="G28" s="2">
        <v>0.017300358044237293</v>
      </c>
      <c r="H28" s="2">
        <v>44.5000451259104</v>
      </c>
      <c r="I28" s="2">
        <v>0.7698667136629664</v>
      </c>
    </row>
    <row r="29">
      <c r="A29" s="2" t="s">
        <v>83</v>
      </c>
      <c r="B29" s="2" t="s">
        <v>74</v>
      </c>
      <c r="C29" s="2">
        <v>9120.0</v>
      </c>
      <c r="D29" s="2">
        <v>8.05818515645782E19</v>
      </c>
      <c r="E29" s="2">
        <v>0.0805818515645782</v>
      </c>
      <c r="F29" s="7">
        <v>2.2</v>
      </c>
      <c r="G29" s="2">
        <v>0.17728007344207206</v>
      </c>
      <c r="H29" s="2">
        <v>13.98634348</v>
      </c>
      <c r="I29" s="2">
        <v>2.4794999993204456</v>
      </c>
    </row>
    <row r="30">
      <c r="A30" s="2" t="s">
        <v>83</v>
      </c>
      <c r="B30" s="2" t="s">
        <v>75</v>
      </c>
      <c r="C30" s="2">
        <v>4400.0</v>
      </c>
      <c r="D30" s="2">
        <v>3.8877209088173695E19</v>
      </c>
      <c r="E30" s="2">
        <v>0.03887720908817369</v>
      </c>
      <c r="F30" s="7">
        <v>8.959999999999999</v>
      </c>
      <c r="G30" s="2">
        <v>0.34833979343003624</v>
      </c>
      <c r="H30" s="2">
        <v>6.090112618</v>
      </c>
      <c r="I30" s="2">
        <v>2.121428571319777</v>
      </c>
    </row>
    <row r="31">
      <c r="A31" s="2" t="s">
        <v>83</v>
      </c>
      <c r="B31" s="2" t="s">
        <v>82</v>
      </c>
      <c r="C31" s="2">
        <v>144.0</v>
      </c>
      <c r="D31" s="2">
        <v>1.272345024703866E18</v>
      </c>
      <c r="E31" s="2">
        <v>0.0012723450247038662</v>
      </c>
      <c r="F31" s="2">
        <v>9.69</v>
      </c>
      <c r="G31" s="2">
        <v>0.012329023289380462</v>
      </c>
      <c r="H31" s="2">
        <v>24.90282413547882</v>
      </c>
      <c r="I31" s="2">
        <v>0.3070274987376642</v>
      </c>
    </row>
    <row r="32">
      <c r="A32" s="2" t="s">
        <v>83</v>
      </c>
      <c r="B32" s="2" t="s">
        <v>22</v>
      </c>
      <c r="C32" s="2">
        <v>0.0</v>
      </c>
      <c r="D32" s="2">
        <v>0.0</v>
      </c>
      <c r="E32" s="2">
        <v>0.0</v>
      </c>
      <c r="F32" s="2">
        <v>18.63</v>
      </c>
      <c r="G32" s="2">
        <v>0.0</v>
      </c>
      <c r="H32" s="2">
        <v>19053.34</v>
      </c>
      <c r="I32" s="2">
        <v>0.0</v>
      </c>
    </row>
    <row r="33">
      <c r="A33" s="2" t="s">
        <v>83</v>
      </c>
      <c r="B33" s="2" t="s">
        <v>84</v>
      </c>
      <c r="C33" s="2">
        <v>0.0</v>
      </c>
      <c r="D33" s="2">
        <v>0.0</v>
      </c>
      <c r="E33" s="2">
        <v>0.0</v>
      </c>
      <c r="F33" s="7">
        <v>2.33</v>
      </c>
      <c r="G33" s="2">
        <v>0.0</v>
      </c>
      <c r="H33" s="2">
        <v>4.130951538</v>
      </c>
      <c r="I33" s="2">
        <v>0.0</v>
      </c>
    </row>
    <row r="34">
      <c r="A34" s="2" t="s">
        <v>83</v>
      </c>
      <c r="B34" s="2" t="s">
        <v>28</v>
      </c>
      <c r="C34" s="2">
        <v>289040.0</v>
      </c>
      <c r="D34" s="2">
        <v>2.5538792079194823E21</v>
      </c>
      <c r="E34" s="2">
        <v>2.5538792079194823</v>
      </c>
      <c r="F34" s="7">
        <v>0.9659999999999999</v>
      </c>
      <c r="G34" s="2">
        <v>2.4670473148502197</v>
      </c>
      <c r="H34" s="2">
        <v>4.2</v>
      </c>
      <c r="I34" s="2">
        <v>10.361598722370923</v>
      </c>
    </row>
    <row r="35">
      <c r="A35" s="2" t="s">
        <v>83</v>
      </c>
      <c r="B35" s="2" t="s">
        <v>30</v>
      </c>
      <c r="C35" s="2">
        <v>440.0</v>
      </c>
      <c r="D35" s="2">
        <v>3.887720908817369E18</v>
      </c>
      <c r="E35" s="2">
        <v>0.003887720908817369</v>
      </c>
      <c r="F35" s="7">
        <v>2.29</v>
      </c>
      <c r="G35" s="2">
        <v>0.008902880881191774</v>
      </c>
      <c r="H35" s="2">
        <v>308.8887784</v>
      </c>
      <c r="I35" s="2">
        <v>2.7499999996320423</v>
      </c>
    </row>
    <row r="36">
      <c r="A36" s="2" t="s">
        <v>83</v>
      </c>
      <c r="B36" s="2" t="s">
        <v>32</v>
      </c>
      <c r="C36" s="2">
        <v>960.0</v>
      </c>
      <c r="D36" s="2">
        <v>8.482300164692441E18</v>
      </c>
      <c r="E36" s="2">
        <v>0.008482300164692442</v>
      </c>
      <c r="F36" s="7">
        <v>3.3299999999999996</v>
      </c>
      <c r="G36" s="2">
        <v>0.02824605954842583</v>
      </c>
      <c r="H36" s="2">
        <v>67.97408314</v>
      </c>
      <c r="I36" s="2">
        <v>1.9200000001220883</v>
      </c>
    </row>
    <row r="37">
      <c r="A37" s="2" t="s">
        <v>83</v>
      </c>
      <c r="B37" s="2" t="s">
        <v>36</v>
      </c>
      <c r="C37" s="2">
        <v>9232.0</v>
      </c>
      <c r="D37" s="2">
        <v>8.157145325045898E19</v>
      </c>
      <c r="E37" s="2">
        <v>0.08157145325045898</v>
      </c>
      <c r="F37" s="7">
        <v>3.17</v>
      </c>
      <c r="G37" s="2">
        <v>0.2585815068039549</v>
      </c>
      <c r="H37" s="2">
        <v>64.5720543</v>
      </c>
      <c r="I37" s="2">
        <v>16.697139098320797</v>
      </c>
    </row>
    <row r="38">
      <c r="A38" s="2" t="s">
        <v>83</v>
      </c>
      <c r="B38" s="2" t="s">
        <v>38</v>
      </c>
      <c r="C38" s="2">
        <v>87216.0</v>
      </c>
      <c r="D38" s="2">
        <v>7.706169699623082E20</v>
      </c>
      <c r="E38" s="2">
        <v>0.7706169699623082</v>
      </c>
      <c r="F38" s="7">
        <v>2.13</v>
      </c>
      <c r="G38" s="2">
        <v>1.6414141460197165</v>
      </c>
      <c r="H38" s="2">
        <v>2.046463887</v>
      </c>
      <c r="I38" s="2">
        <v>3.3590947734402943</v>
      </c>
    </row>
    <row r="39">
      <c r="A39" s="2" t="s">
        <v>83</v>
      </c>
      <c r="B39" s="2" t="s">
        <v>40</v>
      </c>
      <c r="C39" s="2">
        <v>7056.0</v>
      </c>
      <c r="D39" s="2">
        <v>6.234490621048944E19</v>
      </c>
      <c r="E39" s="2">
        <v>0.062344906210489444</v>
      </c>
      <c r="F39" s="2">
        <v>2.0</v>
      </c>
      <c r="G39" s="2">
        <v>0.12468981242097889</v>
      </c>
      <c r="H39" s="2">
        <v>88.01299960362851</v>
      </c>
      <c r="I39" s="2">
        <v>10.97432441118413</v>
      </c>
    </row>
    <row r="40">
      <c r="A40" s="2" t="s">
        <v>83</v>
      </c>
      <c r="B40" s="2" t="s">
        <v>42</v>
      </c>
      <c r="C40" s="2">
        <v>2819.2</v>
      </c>
      <c r="D40" s="2">
        <v>2.4909688150313468E19</v>
      </c>
      <c r="E40" s="2">
        <v>0.02490968815031347</v>
      </c>
      <c r="F40" s="7">
        <v>2.81</v>
      </c>
      <c r="G40" s="2">
        <v>0.06999622370238084</v>
      </c>
      <c r="H40" s="2">
        <v>37.87056387</v>
      </c>
      <c r="I40" s="2">
        <v>2.6507964603798215</v>
      </c>
    </row>
    <row r="41">
      <c r="A41" s="2" t="s">
        <v>83</v>
      </c>
      <c r="B41" s="2" t="s">
        <v>44</v>
      </c>
      <c r="C41" s="2">
        <v>180.0</v>
      </c>
      <c r="D41" s="2">
        <v>1.5904312808798328E18</v>
      </c>
      <c r="E41" s="2">
        <v>0.0015904312808798329</v>
      </c>
      <c r="F41" s="2">
        <v>16.7</v>
      </c>
      <c r="G41" s="2">
        <v>0.02656020239069321</v>
      </c>
      <c r="H41" s="2">
        <v>170.8356</v>
      </c>
      <c r="I41" s="2">
        <v>4.537428111535509</v>
      </c>
    </row>
    <row r="42">
      <c r="A42" s="2" t="s">
        <v>83</v>
      </c>
      <c r="B42" s="2" t="s">
        <v>46</v>
      </c>
      <c r="C42" s="2">
        <v>180.0</v>
      </c>
      <c r="D42" s="2">
        <v>1.5904312808798328E18</v>
      </c>
      <c r="E42" s="2">
        <v>0.0015904312808798329</v>
      </c>
      <c r="F42" s="7">
        <v>13.699999999999998</v>
      </c>
      <c r="G42" s="2">
        <v>0.021788908548053706</v>
      </c>
      <c r="H42" s="2">
        <v>25.81588696</v>
      </c>
      <c r="I42" s="2">
        <v>0.5625000000583322</v>
      </c>
    </row>
    <row r="43">
      <c r="A43" s="2" t="s">
        <v>83</v>
      </c>
      <c r="B43" s="2" t="s">
        <v>48</v>
      </c>
      <c r="C43" s="2">
        <v>2400.0</v>
      </c>
      <c r="D43" s="2">
        <v>2.1205750411731104E19</v>
      </c>
      <c r="E43" s="2">
        <v>0.021205750411731103</v>
      </c>
      <c r="F43" s="7">
        <v>0.9399999999999998</v>
      </c>
      <c r="G43" s="2">
        <v>0.019933405387027234</v>
      </c>
      <c r="H43" s="2">
        <v>2.859521436</v>
      </c>
      <c r="I43" s="2">
        <v>0.05699999999668225</v>
      </c>
    </row>
    <row r="44">
      <c r="A44" s="2" t="s">
        <v>83</v>
      </c>
      <c r="B44" s="2" t="s">
        <v>50</v>
      </c>
      <c r="C44" s="2">
        <v>100.0</v>
      </c>
      <c r="D44" s="2">
        <v>8.835729338221294E17</v>
      </c>
      <c r="E44" s="2">
        <v>8.835729338221294E-4</v>
      </c>
      <c r="F44" s="7">
        <v>4.5</v>
      </c>
      <c r="G44" s="2">
        <v>0.003976078202199583</v>
      </c>
      <c r="H44" s="2">
        <v>47.63335371</v>
      </c>
      <c r="I44" s="2">
        <v>0.18939393938399363</v>
      </c>
    </row>
    <row r="45">
      <c r="A45" s="2" t="s">
        <v>83</v>
      </c>
      <c r="B45" s="2" t="s">
        <v>52</v>
      </c>
      <c r="C45" s="2">
        <v>752.0</v>
      </c>
      <c r="D45" s="2">
        <v>6.644468462342413E18</v>
      </c>
      <c r="E45" s="2">
        <v>0.006644468462342413</v>
      </c>
      <c r="F45" s="7">
        <v>5.209999999999999</v>
      </c>
      <c r="G45" s="2">
        <v>0.03461768068880397</v>
      </c>
      <c r="H45" s="2">
        <v>43.97783202</v>
      </c>
      <c r="I45" s="2">
        <v>1.522410546254219</v>
      </c>
    </row>
    <row r="46">
      <c r="A46" s="2" t="s">
        <v>83</v>
      </c>
      <c r="B46" s="2" t="s">
        <v>56</v>
      </c>
      <c r="C46" s="2">
        <v>2864.0</v>
      </c>
      <c r="D46" s="2">
        <v>2.5305528824665784E19</v>
      </c>
      <c r="E46" s="2">
        <v>0.025305528824665784</v>
      </c>
      <c r="F46" s="7">
        <v>19.3</v>
      </c>
      <c r="G46" s="2">
        <v>0.48839670631604964</v>
      </c>
      <c r="H46" s="2">
        <v>75.81493114</v>
      </c>
      <c r="I46" s="2">
        <v>37.027762658354106</v>
      </c>
    </row>
    <row r="47">
      <c r="A47" s="2" t="s">
        <v>83</v>
      </c>
      <c r="B47" s="2" t="s">
        <v>60</v>
      </c>
      <c r="C47" s="2">
        <v>19.2</v>
      </c>
      <c r="D47" s="2">
        <v>1.6964600329384883E17</v>
      </c>
      <c r="E47" s="2">
        <v>1.6964600329384883E-4</v>
      </c>
      <c r="F47" s="2">
        <v>4.8149999999999995</v>
      </c>
      <c r="G47" s="2">
        <v>8.16845505859882E-4</v>
      </c>
      <c r="H47" s="2">
        <v>1065.070666154757</v>
      </c>
      <c r="I47" s="2">
        <v>0.869998187071704</v>
      </c>
    </row>
    <row r="48">
      <c r="A48" s="2" t="s">
        <v>83</v>
      </c>
      <c r="B48" s="2" t="s">
        <v>62</v>
      </c>
      <c r="C48" s="2">
        <v>12.8</v>
      </c>
      <c r="D48" s="2">
        <v>1.1309733552923256E17</v>
      </c>
      <c r="E48" s="2">
        <v>1.1309733552923256E-4</v>
      </c>
      <c r="F48" s="2">
        <v>6.44</v>
      </c>
      <c r="G48" s="2">
        <v>7.283468408082577E-4</v>
      </c>
      <c r="H48" s="2">
        <v>1008.6373963173792</v>
      </c>
      <c r="I48" s="2">
        <v>0.7346378611288297</v>
      </c>
    </row>
    <row r="49">
      <c r="A49" s="2" t="s">
        <v>83</v>
      </c>
      <c r="B49" s="2" t="s">
        <v>64</v>
      </c>
      <c r="C49" s="2">
        <v>12.8</v>
      </c>
      <c r="D49" s="2">
        <v>1.1309733552923256E17</v>
      </c>
      <c r="E49" s="2">
        <v>1.1309733552923256E-4</v>
      </c>
      <c r="F49" s="2">
        <v>7.685</v>
      </c>
      <c r="G49" s="2">
        <v>8.691530235421522E-4</v>
      </c>
      <c r="H49" s="2">
        <v>1015.9485375966532</v>
      </c>
      <c r="I49" s="2">
        <v>0.883014743215359</v>
      </c>
    </row>
    <row r="50">
      <c r="A50" s="3" t="s">
        <v>85</v>
      </c>
      <c r="B50" s="2" t="s">
        <v>2</v>
      </c>
      <c r="C50" s="2">
        <v>0.0</v>
      </c>
      <c r="D50" s="2">
        <v>0.0</v>
      </c>
      <c r="E50" s="2">
        <v>0.0</v>
      </c>
      <c r="F50" s="7">
        <v>1.9999999999999998</v>
      </c>
      <c r="G50" s="2">
        <v>0.0</v>
      </c>
      <c r="H50" s="2">
        <v>254.6479089</v>
      </c>
      <c r="I50" s="2">
        <v>0.0</v>
      </c>
    </row>
    <row r="51">
      <c r="A51" s="3" t="s">
        <v>85</v>
      </c>
      <c r="B51" s="2" t="s">
        <v>4</v>
      </c>
      <c r="C51" s="2">
        <v>0.0</v>
      </c>
      <c r="D51" s="2">
        <v>0.0</v>
      </c>
      <c r="E51" s="2">
        <v>0.0</v>
      </c>
      <c r="F51" s="7">
        <v>2.7</v>
      </c>
      <c r="G51" s="2">
        <v>0.0</v>
      </c>
      <c r="H51" s="2">
        <v>10.72688123</v>
      </c>
      <c r="I51" s="2">
        <v>0.0</v>
      </c>
    </row>
    <row r="52">
      <c r="A52" s="3" t="s">
        <v>85</v>
      </c>
      <c r="B52" s="2" t="s">
        <v>6</v>
      </c>
      <c r="C52" s="2">
        <v>0.0</v>
      </c>
      <c r="D52" s="2">
        <v>0.0</v>
      </c>
      <c r="E52" s="2">
        <v>0.0</v>
      </c>
      <c r="F52" s="2">
        <v>2.78</v>
      </c>
      <c r="G52" s="2">
        <v>0.0</v>
      </c>
      <c r="H52" s="2">
        <v>8.408496924</v>
      </c>
      <c r="I52" s="2">
        <v>0.0</v>
      </c>
    </row>
    <row r="53">
      <c r="A53" s="3" t="s">
        <v>85</v>
      </c>
      <c r="B53" s="2" t="s">
        <v>12</v>
      </c>
      <c r="C53" s="2">
        <v>0.0</v>
      </c>
      <c r="D53" s="2">
        <v>0.0</v>
      </c>
      <c r="E53" s="2">
        <v>0.0</v>
      </c>
      <c r="F53" s="7">
        <v>8.9</v>
      </c>
      <c r="G53" s="2">
        <v>0.0</v>
      </c>
      <c r="H53" s="2">
        <v>44.5000451259104</v>
      </c>
      <c r="I53" s="2">
        <v>0.0</v>
      </c>
    </row>
    <row r="54">
      <c r="A54" s="3" t="s">
        <v>85</v>
      </c>
      <c r="B54" s="2" t="s">
        <v>74</v>
      </c>
      <c r="C54" s="2">
        <v>0.0</v>
      </c>
      <c r="D54" s="2">
        <v>0.0</v>
      </c>
      <c r="E54" s="2">
        <v>0.0</v>
      </c>
      <c r="F54" s="7">
        <v>2.2</v>
      </c>
      <c r="G54" s="2">
        <v>0.0</v>
      </c>
      <c r="H54" s="2">
        <v>13.98634348</v>
      </c>
      <c r="I54" s="2">
        <v>0.0</v>
      </c>
    </row>
    <row r="55">
      <c r="A55" s="3" t="s">
        <v>85</v>
      </c>
      <c r="B55" s="2" t="s">
        <v>75</v>
      </c>
      <c r="C55" s="2">
        <v>4585.0</v>
      </c>
      <c r="D55" s="2">
        <v>3.24094552125957E20</v>
      </c>
      <c r="E55" s="2">
        <v>0.324094552125957</v>
      </c>
      <c r="F55" s="7">
        <v>8.959999999999999</v>
      </c>
      <c r="G55" s="2">
        <v>2.9038871870485745</v>
      </c>
      <c r="H55" s="2">
        <v>6.090112618</v>
      </c>
      <c r="I55" s="2">
        <v>17.68499999909305</v>
      </c>
    </row>
    <row r="56">
      <c r="A56" s="3" t="s">
        <v>85</v>
      </c>
      <c r="B56" s="2" t="s">
        <v>82</v>
      </c>
      <c r="C56" s="2">
        <v>0.0</v>
      </c>
      <c r="D56" s="2">
        <v>0.0</v>
      </c>
      <c r="E56" s="2">
        <v>0.0</v>
      </c>
      <c r="F56" s="2">
        <v>9.69</v>
      </c>
      <c r="G56" s="2">
        <v>0.0</v>
      </c>
      <c r="H56" s="2">
        <v>24.90282413547882</v>
      </c>
      <c r="I56" s="2">
        <v>0.0</v>
      </c>
    </row>
    <row r="57">
      <c r="A57" s="3" t="s">
        <v>85</v>
      </c>
      <c r="B57" s="2" t="s">
        <v>22</v>
      </c>
      <c r="C57" s="2">
        <v>26.0</v>
      </c>
      <c r="D57" s="2">
        <v>1.837831702350029E18</v>
      </c>
      <c r="E57" s="2">
        <v>0.001837831702350029</v>
      </c>
      <c r="F57" s="2">
        <v>18.63</v>
      </c>
      <c r="G57" s="2">
        <v>0.03423880461478104</v>
      </c>
      <c r="H57" s="2">
        <v>19053.34</v>
      </c>
      <c r="I57" s="2">
        <v>652.3635855189923</v>
      </c>
    </row>
    <row r="58">
      <c r="A58" s="3" t="s">
        <v>85</v>
      </c>
      <c r="B58" s="2" t="s">
        <v>84</v>
      </c>
      <c r="C58" s="2">
        <v>130.0</v>
      </c>
      <c r="D58" s="2">
        <v>9.189158511750144E18</v>
      </c>
      <c r="E58" s="2">
        <v>0.009189158511750143</v>
      </c>
      <c r="F58" s="7">
        <v>2.33</v>
      </c>
      <c r="G58" s="2">
        <v>0.021410739332377835</v>
      </c>
      <c r="H58" s="2">
        <v>4.130951538</v>
      </c>
      <c r="I58" s="2">
        <v>0.0884467265748033</v>
      </c>
    </row>
    <row r="59">
      <c r="A59" s="3" t="s">
        <v>85</v>
      </c>
      <c r="B59" s="2" t="s">
        <v>28</v>
      </c>
      <c r="C59" s="2">
        <v>26500.0</v>
      </c>
      <c r="D59" s="2">
        <v>1.8731746197029142E21</v>
      </c>
      <c r="E59" s="2">
        <v>1.8731746197029142</v>
      </c>
      <c r="F59" s="7">
        <v>0.9659999999999999</v>
      </c>
      <c r="G59" s="2">
        <v>1.809486682633015</v>
      </c>
      <c r="H59" s="2">
        <v>4.2</v>
      </c>
      <c r="I59" s="2">
        <v>7.599844067058663</v>
      </c>
    </row>
    <row r="60">
      <c r="A60" s="3" t="s">
        <v>85</v>
      </c>
      <c r="B60" s="2" t="s">
        <v>30</v>
      </c>
      <c r="C60" s="2">
        <v>0.0</v>
      </c>
      <c r="D60" s="2">
        <v>0.0</v>
      </c>
      <c r="E60" s="2">
        <v>0.0</v>
      </c>
      <c r="F60" s="7">
        <v>2.29</v>
      </c>
      <c r="G60" s="2">
        <v>0.0</v>
      </c>
      <c r="H60" s="2">
        <v>308.8887784</v>
      </c>
      <c r="I60" s="2">
        <v>0.0</v>
      </c>
    </row>
    <row r="61">
      <c r="A61" s="3" t="s">
        <v>85</v>
      </c>
      <c r="B61" s="2" t="s">
        <v>32</v>
      </c>
      <c r="C61" s="2">
        <v>738.0</v>
      </c>
      <c r="D61" s="2">
        <v>5.2166146012858515E19</v>
      </c>
      <c r="E61" s="2">
        <v>0.052166146012858516</v>
      </c>
      <c r="F61" s="7">
        <v>3.3299999999999996</v>
      </c>
      <c r="G61" s="2">
        <v>0.17371326622281885</v>
      </c>
      <c r="H61" s="2">
        <v>67.97408314</v>
      </c>
      <c r="I61" s="2">
        <v>11.808000000750843</v>
      </c>
    </row>
    <row r="62">
      <c r="A62" s="3" t="s">
        <v>85</v>
      </c>
      <c r="B62" s="2" t="s">
        <v>36</v>
      </c>
      <c r="C62" s="2">
        <v>304.0</v>
      </c>
      <c r="D62" s="2">
        <v>2.148849375055418E19</v>
      </c>
      <c r="E62" s="2">
        <v>0.021488493750554182</v>
      </c>
      <c r="F62" s="7">
        <v>3.17</v>
      </c>
      <c r="G62" s="2">
        <v>0.06811852518925676</v>
      </c>
      <c r="H62" s="2">
        <v>64.5720543</v>
      </c>
      <c r="I62" s="2">
        <v>4.398553107356606</v>
      </c>
    </row>
    <row r="63">
      <c r="A63" s="3" t="s">
        <v>85</v>
      </c>
      <c r="B63" s="2" t="s">
        <v>38</v>
      </c>
      <c r="C63" s="2">
        <v>5309.0</v>
      </c>
      <c r="D63" s="2">
        <v>3.752710964529347E20</v>
      </c>
      <c r="E63" s="2">
        <v>0.3752710964529347</v>
      </c>
      <c r="F63" s="7">
        <v>2.13</v>
      </c>
      <c r="G63" s="2">
        <v>0.7993274354447509</v>
      </c>
      <c r="H63" s="2">
        <v>2.046463887</v>
      </c>
      <c r="I63" s="2">
        <v>1.6357947305260063</v>
      </c>
    </row>
    <row r="64">
      <c r="A64" s="3" t="s">
        <v>85</v>
      </c>
      <c r="B64" s="2" t="s">
        <v>40</v>
      </c>
      <c r="C64" s="2">
        <v>0.0</v>
      </c>
      <c r="D64" s="2">
        <v>0.0</v>
      </c>
      <c r="E64" s="2">
        <v>0.0</v>
      </c>
      <c r="F64" s="2">
        <v>2.0</v>
      </c>
      <c r="G64" s="2">
        <v>0.0</v>
      </c>
      <c r="H64" s="2">
        <v>88.01299960362851</v>
      </c>
      <c r="I64" s="2">
        <v>0.0</v>
      </c>
    </row>
    <row r="65">
      <c r="A65" s="3" t="s">
        <v>85</v>
      </c>
      <c r="B65" s="2" t="s">
        <v>42</v>
      </c>
      <c r="C65" s="2">
        <v>9.6</v>
      </c>
      <c r="D65" s="2">
        <v>6.785840131753953E17</v>
      </c>
      <c r="E65" s="2">
        <v>6.785840131753953E-4</v>
      </c>
      <c r="F65" s="7">
        <v>2.81</v>
      </c>
      <c r="G65" s="2">
        <v>0.001906821077022861</v>
      </c>
      <c r="H65" s="2">
        <v>37.87056387</v>
      </c>
      <c r="I65" s="2">
        <v>0.07221238938605644</v>
      </c>
    </row>
    <row r="66">
      <c r="A66" s="3" t="s">
        <v>85</v>
      </c>
      <c r="B66" s="2" t="s">
        <v>44</v>
      </c>
      <c r="C66" s="2">
        <v>35.0</v>
      </c>
      <c r="D66" s="2">
        <v>2.474004214701962E18</v>
      </c>
      <c r="E66" s="2">
        <v>0.002474004214701962</v>
      </c>
      <c r="F66" s="2">
        <v>16.7</v>
      </c>
      <c r="G66" s="2">
        <v>0.041315870385522764</v>
      </c>
      <c r="H66" s="2">
        <v>170.8356</v>
      </c>
      <c r="I66" s="2">
        <v>7.0582215068330125</v>
      </c>
    </row>
    <row r="67">
      <c r="A67" s="3" t="s">
        <v>85</v>
      </c>
      <c r="B67" s="2" t="s">
        <v>46</v>
      </c>
      <c r="C67" s="2">
        <v>35.0</v>
      </c>
      <c r="D67" s="2">
        <v>2.474004214701962E18</v>
      </c>
      <c r="E67" s="2">
        <v>0.002474004214701962</v>
      </c>
      <c r="F67" s="7">
        <v>13.699999999999998</v>
      </c>
      <c r="G67" s="2">
        <v>0.03389385774141687</v>
      </c>
      <c r="H67" s="2">
        <v>25.81588696</v>
      </c>
      <c r="I67" s="2">
        <v>0.8750000000907389</v>
      </c>
    </row>
    <row r="68">
      <c r="A68" s="3" t="s">
        <v>85</v>
      </c>
      <c r="B68" s="2" t="s">
        <v>48</v>
      </c>
      <c r="C68" s="2">
        <v>0.0</v>
      </c>
      <c r="D68" s="2">
        <v>0.0</v>
      </c>
      <c r="E68" s="2">
        <v>0.0</v>
      </c>
      <c r="F68" s="7">
        <v>0.9399999999999998</v>
      </c>
      <c r="G68" s="2">
        <v>0.0</v>
      </c>
      <c r="H68" s="2">
        <v>2.859521436</v>
      </c>
      <c r="I68" s="2">
        <v>0.0</v>
      </c>
    </row>
    <row r="69">
      <c r="A69" s="3" t="s">
        <v>85</v>
      </c>
      <c r="B69" s="2" t="s">
        <v>50</v>
      </c>
      <c r="C69" s="2">
        <v>0.0</v>
      </c>
      <c r="D69" s="2">
        <v>0.0</v>
      </c>
      <c r="E69" s="2">
        <v>0.0</v>
      </c>
      <c r="F69" s="7">
        <v>4.5</v>
      </c>
      <c r="G69" s="2">
        <v>0.0</v>
      </c>
      <c r="H69" s="2">
        <v>47.63335371</v>
      </c>
      <c r="I69" s="2">
        <v>0.0</v>
      </c>
    </row>
    <row r="70">
      <c r="A70" s="3" t="s">
        <v>85</v>
      </c>
      <c r="B70" s="2" t="s">
        <v>52</v>
      </c>
      <c r="C70" s="2">
        <v>24.0</v>
      </c>
      <c r="D70" s="2">
        <v>1.6964600329384883E18</v>
      </c>
      <c r="E70" s="2">
        <v>0.0016964600329384884</v>
      </c>
      <c r="F70" s="7">
        <v>5.209999999999999</v>
      </c>
      <c r="G70" s="2">
        <v>0.008838556771609524</v>
      </c>
      <c r="H70" s="2">
        <v>43.97783202</v>
      </c>
      <c r="I70" s="2">
        <v>0.38870056500107714</v>
      </c>
    </row>
    <row r="71">
      <c r="A71" s="3" t="s">
        <v>85</v>
      </c>
      <c r="B71" s="2" t="s">
        <v>56</v>
      </c>
      <c r="C71" s="2">
        <v>500.0</v>
      </c>
      <c r="D71" s="2">
        <v>3.534291735288517E19</v>
      </c>
      <c r="E71" s="2">
        <v>0.03534291735288517</v>
      </c>
      <c r="F71" s="7">
        <v>19.3</v>
      </c>
      <c r="G71" s="2">
        <v>0.6821183049106837</v>
      </c>
      <c r="H71" s="2">
        <v>75.81493114</v>
      </c>
      <c r="I71" s="2">
        <v>51.71475231613701</v>
      </c>
    </row>
    <row r="72">
      <c r="A72" s="3" t="s">
        <v>85</v>
      </c>
      <c r="B72" s="2" t="s">
        <v>60</v>
      </c>
      <c r="C72" s="2">
        <v>0.0</v>
      </c>
      <c r="D72" s="2">
        <v>0.0</v>
      </c>
      <c r="E72" s="2">
        <v>0.0</v>
      </c>
      <c r="F72" s="2">
        <v>4.8149999999999995</v>
      </c>
      <c r="G72" s="2">
        <v>0.0</v>
      </c>
      <c r="H72" s="2">
        <v>1065.070666154757</v>
      </c>
      <c r="I72" s="2">
        <v>0.0</v>
      </c>
    </row>
    <row r="73">
      <c r="A73" s="3" t="s">
        <v>85</v>
      </c>
      <c r="B73" s="2" t="s">
        <v>62</v>
      </c>
      <c r="C73" s="2">
        <v>0.0</v>
      </c>
      <c r="D73" s="2">
        <v>0.0</v>
      </c>
      <c r="E73" s="2">
        <v>0.0</v>
      </c>
      <c r="F73" s="2">
        <v>6.44</v>
      </c>
      <c r="G73" s="2">
        <v>0.0</v>
      </c>
      <c r="H73" s="2">
        <v>1008.6373963173792</v>
      </c>
      <c r="I73" s="2">
        <v>0.0</v>
      </c>
    </row>
    <row r="74">
      <c r="A74" s="3" t="s">
        <v>85</v>
      </c>
      <c r="B74" s="2" t="s">
        <v>64</v>
      </c>
      <c r="C74" s="2">
        <v>0.0</v>
      </c>
      <c r="D74" s="2">
        <v>0.0</v>
      </c>
      <c r="E74" s="2">
        <v>0.0</v>
      </c>
      <c r="F74" s="2">
        <v>7.685</v>
      </c>
      <c r="G74" s="2">
        <v>0.0</v>
      </c>
      <c r="H74" s="2">
        <v>1015.9485375966532</v>
      </c>
      <c r="I74" s="2">
        <v>0.0</v>
      </c>
    </row>
    <row r="76">
      <c r="H76" s="4" t="s">
        <v>78</v>
      </c>
      <c r="I76" s="2">
        <v>942.1649409960373</v>
      </c>
    </row>
    <row r="77">
      <c r="H77" s="4" t="s">
        <v>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66</v>
      </c>
      <c r="C1" s="1" t="s">
        <v>81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80</v>
      </c>
      <c r="I1" s="6" t="s">
        <v>73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2" t="s">
        <v>91</v>
      </c>
      <c r="B2" s="2" t="s">
        <v>2</v>
      </c>
      <c r="C2" s="2">
        <v>0.0</v>
      </c>
      <c r="D2" s="2">
        <v>0.0</v>
      </c>
      <c r="E2" s="2">
        <v>0.0</v>
      </c>
      <c r="F2" s="7">
        <v>1.9999999999999998</v>
      </c>
      <c r="G2" s="2">
        <v>0.0</v>
      </c>
      <c r="H2" s="2">
        <v>254.6479089</v>
      </c>
      <c r="I2" s="2">
        <v>0.0</v>
      </c>
    </row>
    <row r="3">
      <c r="A3" s="2" t="s">
        <v>91</v>
      </c>
      <c r="B3" s="2" t="s">
        <v>4</v>
      </c>
      <c r="C3" s="2">
        <v>0.0</v>
      </c>
      <c r="D3" s="2">
        <v>0.0</v>
      </c>
      <c r="E3" s="2">
        <v>0.0</v>
      </c>
      <c r="F3" s="7">
        <v>2.7</v>
      </c>
      <c r="G3" s="2">
        <v>0.0</v>
      </c>
      <c r="H3" s="2">
        <v>10.72688123</v>
      </c>
      <c r="I3" s="2">
        <v>0.0</v>
      </c>
    </row>
    <row r="4">
      <c r="A4" s="2" t="s">
        <v>91</v>
      </c>
      <c r="B4" s="2" t="s">
        <v>12</v>
      </c>
      <c r="C4" s="2">
        <v>11.0</v>
      </c>
      <c r="D4" s="2">
        <v>7.775441817634737E17</v>
      </c>
      <c r="E4" s="2">
        <v>7.775441817634737E-4</v>
      </c>
      <c r="F4" s="7">
        <v>8.9</v>
      </c>
      <c r="G4" s="2">
        <v>0.006920143217694916</v>
      </c>
      <c r="H4" s="2">
        <v>44.5000451259104</v>
      </c>
      <c r="I4" s="2">
        <v>0.30794668546518655</v>
      </c>
    </row>
    <row r="5">
      <c r="A5" s="2" t="s">
        <v>91</v>
      </c>
      <c r="B5" s="2" t="s">
        <v>74</v>
      </c>
      <c r="C5" s="2">
        <v>0.0</v>
      </c>
      <c r="D5" s="2">
        <v>0.0</v>
      </c>
      <c r="E5" s="2">
        <v>0.0</v>
      </c>
      <c r="F5" s="7">
        <v>2.2</v>
      </c>
      <c r="G5" s="2">
        <v>0.0</v>
      </c>
      <c r="H5" s="2">
        <v>13.98634348</v>
      </c>
      <c r="I5" s="2">
        <v>0.0</v>
      </c>
    </row>
    <row r="6">
      <c r="A6" s="2" t="s">
        <v>91</v>
      </c>
      <c r="B6" s="2" t="s">
        <v>75</v>
      </c>
      <c r="C6" s="2">
        <v>5780.0</v>
      </c>
      <c r="D6" s="2">
        <v>4.0856412459935256E20</v>
      </c>
      <c r="E6" s="2">
        <v>0.40856412459935254</v>
      </c>
      <c r="F6" s="7">
        <v>8.959999999999999</v>
      </c>
      <c r="G6" s="2">
        <v>3.6607345564101985</v>
      </c>
      <c r="H6" s="2">
        <v>6.090112618</v>
      </c>
      <c r="I6" s="2">
        <v>22.294285713142383</v>
      </c>
    </row>
    <row r="7">
      <c r="A7" s="2" t="s">
        <v>91</v>
      </c>
      <c r="B7" s="2" t="s">
        <v>76</v>
      </c>
      <c r="C7" s="2">
        <v>0.0</v>
      </c>
      <c r="D7" s="2">
        <v>0.0</v>
      </c>
      <c r="E7" s="2">
        <v>0.0</v>
      </c>
      <c r="F7" s="7">
        <v>2.33</v>
      </c>
      <c r="G7" s="2">
        <v>0.0</v>
      </c>
      <c r="H7" s="2">
        <v>4.130951538</v>
      </c>
      <c r="I7" s="2">
        <v>0.0</v>
      </c>
    </row>
    <row r="8">
      <c r="A8" s="2" t="s">
        <v>91</v>
      </c>
      <c r="B8" s="2" t="s">
        <v>28</v>
      </c>
      <c r="C8" s="2">
        <v>11500.0</v>
      </c>
      <c r="D8" s="2">
        <v>8.12887099116359E20</v>
      </c>
      <c r="E8" s="2">
        <v>0.812887099116359</v>
      </c>
      <c r="F8" s="7">
        <v>0.9659999999999999</v>
      </c>
      <c r="G8" s="2">
        <v>0.7852489377464027</v>
      </c>
      <c r="H8" s="2">
        <v>4.2</v>
      </c>
      <c r="I8" s="2">
        <v>3.2980455385348915</v>
      </c>
    </row>
    <row r="9">
      <c r="A9" s="2" t="s">
        <v>91</v>
      </c>
      <c r="B9" s="2" t="s">
        <v>30</v>
      </c>
      <c r="C9" s="2">
        <v>0.0</v>
      </c>
      <c r="D9" s="2">
        <v>0.0</v>
      </c>
      <c r="E9" s="2">
        <v>0.0</v>
      </c>
      <c r="F9" s="2">
        <v>2.29</v>
      </c>
      <c r="G9" s="2">
        <v>0.0</v>
      </c>
      <c r="H9" s="2">
        <v>308.8887784</v>
      </c>
      <c r="I9" s="2">
        <v>0.0</v>
      </c>
    </row>
    <row r="10">
      <c r="A10" s="2" t="s">
        <v>91</v>
      </c>
      <c r="B10" s="2" t="s">
        <v>32</v>
      </c>
      <c r="C10" s="2">
        <v>0.0</v>
      </c>
      <c r="D10" s="2">
        <v>0.0</v>
      </c>
      <c r="E10" s="2">
        <v>0.0</v>
      </c>
      <c r="F10" s="7">
        <v>3.3299999999999996</v>
      </c>
      <c r="G10" s="2">
        <v>0.0</v>
      </c>
      <c r="H10" s="2">
        <v>67.97408314</v>
      </c>
      <c r="I10" s="2">
        <v>0.0</v>
      </c>
    </row>
    <row r="11">
      <c r="A11" s="2" t="s">
        <v>91</v>
      </c>
      <c r="B11" s="2" t="s">
        <v>36</v>
      </c>
      <c r="C11" s="2">
        <v>0.0</v>
      </c>
      <c r="D11" s="2">
        <v>0.0</v>
      </c>
      <c r="E11" s="2">
        <v>0.0</v>
      </c>
      <c r="F11" s="7">
        <v>3.17</v>
      </c>
      <c r="G11" s="2">
        <v>0.0</v>
      </c>
      <c r="H11" s="2">
        <v>64.5720543</v>
      </c>
      <c r="I11" s="2">
        <v>0.0</v>
      </c>
    </row>
    <row r="12">
      <c r="A12" s="2" t="s">
        <v>91</v>
      </c>
      <c r="B12" s="2" t="s">
        <v>38</v>
      </c>
      <c r="C12" s="2">
        <v>1100.0</v>
      </c>
      <c r="D12" s="2">
        <v>7.775441817634739E19</v>
      </c>
      <c r="E12" s="2">
        <v>0.07775441817634739</v>
      </c>
      <c r="F12" s="7">
        <v>2.13</v>
      </c>
      <c r="G12" s="2">
        <v>0.16561691071561993</v>
      </c>
      <c r="H12" s="2">
        <v>2.046463887</v>
      </c>
      <c r="I12" s="2">
        <v>0.3389290268560195</v>
      </c>
    </row>
    <row r="13">
      <c r="A13" s="2" t="s">
        <v>91</v>
      </c>
      <c r="B13" s="2" t="s">
        <v>40</v>
      </c>
      <c r="C13" s="2">
        <v>0.0</v>
      </c>
      <c r="D13" s="2">
        <v>0.0</v>
      </c>
      <c r="E13" s="2">
        <v>0.0</v>
      </c>
      <c r="F13" s="2">
        <v>2.0</v>
      </c>
      <c r="G13" s="2">
        <v>0.0</v>
      </c>
      <c r="H13" s="2">
        <v>88.01299960362851</v>
      </c>
      <c r="I13" s="2">
        <v>0.0</v>
      </c>
    </row>
    <row r="14">
      <c r="A14" s="2" t="s">
        <v>91</v>
      </c>
      <c r="B14" s="2" t="s">
        <v>42</v>
      </c>
      <c r="C14" s="2">
        <v>0.0</v>
      </c>
      <c r="D14" s="2">
        <v>0.0</v>
      </c>
      <c r="E14" s="2">
        <v>0.0</v>
      </c>
      <c r="F14" s="7">
        <v>2.81</v>
      </c>
      <c r="G14" s="2">
        <v>0.0</v>
      </c>
      <c r="H14" s="2">
        <v>37.87056387</v>
      </c>
      <c r="I14" s="2">
        <v>0.0</v>
      </c>
    </row>
    <row r="15">
      <c r="A15" s="2" t="s">
        <v>91</v>
      </c>
      <c r="B15" s="2" t="s">
        <v>44</v>
      </c>
      <c r="C15" s="2">
        <v>255.0</v>
      </c>
      <c r="D15" s="2">
        <v>1.8024887849971438E19</v>
      </c>
      <c r="E15" s="2">
        <v>0.018024887849971437</v>
      </c>
      <c r="F15" s="7">
        <v>16.7</v>
      </c>
      <c r="G15" s="2">
        <v>0.301015627094523</v>
      </c>
      <c r="H15" s="2">
        <v>170.8356</v>
      </c>
      <c r="I15" s="2">
        <v>51.424185264069095</v>
      </c>
    </row>
    <row r="16">
      <c r="A16" s="2" t="s">
        <v>91</v>
      </c>
      <c r="B16" s="2" t="s">
        <v>46</v>
      </c>
      <c r="C16" s="2">
        <v>255.0</v>
      </c>
      <c r="D16" s="2">
        <v>1.8024887849971438E19</v>
      </c>
      <c r="E16" s="2">
        <v>0.018024887849971437</v>
      </c>
      <c r="F16" s="7">
        <v>13.699999999999998</v>
      </c>
      <c r="G16" s="2">
        <v>0.24694096354460865</v>
      </c>
      <c r="H16" s="2">
        <v>25.81588696</v>
      </c>
      <c r="I16" s="2">
        <v>6.375000000661098</v>
      </c>
    </row>
    <row r="17">
      <c r="A17" s="2" t="s">
        <v>91</v>
      </c>
      <c r="B17" s="2" t="s">
        <v>48</v>
      </c>
      <c r="C17" s="2">
        <v>0.0</v>
      </c>
      <c r="D17" s="2">
        <v>0.0</v>
      </c>
      <c r="E17" s="2">
        <v>0.0</v>
      </c>
      <c r="F17" s="7">
        <v>0.9399999999999998</v>
      </c>
      <c r="G17" s="2">
        <v>0.0</v>
      </c>
      <c r="H17" s="2">
        <v>2.859521436</v>
      </c>
      <c r="I17" s="2">
        <v>0.0</v>
      </c>
    </row>
    <row r="18">
      <c r="A18" s="2" t="s">
        <v>91</v>
      </c>
      <c r="B18" s="2" t="s">
        <v>50</v>
      </c>
      <c r="C18" s="2">
        <v>0.0</v>
      </c>
      <c r="D18" s="2">
        <v>0.0</v>
      </c>
      <c r="E18" s="2">
        <v>0.0</v>
      </c>
      <c r="F18" s="7">
        <v>4.5</v>
      </c>
      <c r="G18" s="2">
        <v>0.0</v>
      </c>
      <c r="H18" s="2">
        <v>47.63335371</v>
      </c>
      <c r="I18" s="2">
        <v>0.0</v>
      </c>
    </row>
    <row r="19">
      <c r="A19" s="2" t="s">
        <v>91</v>
      </c>
      <c r="B19" s="2" t="s">
        <v>52</v>
      </c>
      <c r="C19" s="2">
        <v>0.0</v>
      </c>
      <c r="D19" s="2">
        <v>0.0</v>
      </c>
      <c r="E19" s="2">
        <v>0.0</v>
      </c>
      <c r="F19" s="7">
        <v>5.209999999999999</v>
      </c>
      <c r="G19" s="2">
        <v>0.0</v>
      </c>
      <c r="H19" s="2">
        <v>43.97783202</v>
      </c>
      <c r="I19" s="2">
        <v>0.0</v>
      </c>
    </row>
    <row r="20">
      <c r="A20" s="2" t="s">
        <v>91</v>
      </c>
      <c r="B20" s="2" t="s">
        <v>56</v>
      </c>
      <c r="C20" s="2">
        <v>0.0</v>
      </c>
      <c r="D20" s="2">
        <v>0.0</v>
      </c>
      <c r="E20" s="2">
        <v>0.0</v>
      </c>
      <c r="F20" s="7">
        <v>19.3</v>
      </c>
      <c r="G20" s="2">
        <v>0.0</v>
      </c>
      <c r="H20" s="2">
        <v>75.81493114</v>
      </c>
      <c r="I20" s="2">
        <v>0.0</v>
      </c>
    </row>
    <row r="21">
      <c r="A21" s="2" t="s">
        <v>91</v>
      </c>
      <c r="B21" s="2" t="s">
        <v>58</v>
      </c>
      <c r="H21" s="2">
        <v>26000.0</v>
      </c>
      <c r="I21" s="2">
        <v>338000.0</v>
      </c>
    </row>
    <row r="22">
      <c r="A22" s="2" t="s">
        <v>91</v>
      </c>
      <c r="B22" s="2" t="s">
        <v>60</v>
      </c>
      <c r="C22" s="2">
        <v>0.0</v>
      </c>
      <c r="D22" s="2">
        <v>0.0</v>
      </c>
      <c r="E22" s="2">
        <v>0.0</v>
      </c>
      <c r="F22" s="2">
        <v>4.8149999999999995</v>
      </c>
      <c r="G22" s="2">
        <v>0.0</v>
      </c>
      <c r="H22" s="2">
        <v>1065.070666154757</v>
      </c>
      <c r="I22" s="2">
        <v>0.0</v>
      </c>
    </row>
    <row r="23">
      <c r="A23" s="2" t="s">
        <v>91</v>
      </c>
      <c r="B23" s="2" t="s">
        <v>62</v>
      </c>
      <c r="C23" s="2">
        <v>0.0</v>
      </c>
      <c r="D23" s="2">
        <v>0.0</v>
      </c>
      <c r="E23" s="2">
        <v>0.0</v>
      </c>
      <c r="F23" s="2">
        <v>6.44</v>
      </c>
      <c r="G23" s="2">
        <v>0.0</v>
      </c>
      <c r="H23" s="2">
        <v>1008.6373963173792</v>
      </c>
      <c r="I23" s="2">
        <v>0.0</v>
      </c>
    </row>
    <row r="24">
      <c r="A24" s="2" t="s">
        <v>91</v>
      </c>
      <c r="B24" s="2" t="s">
        <v>64</v>
      </c>
      <c r="C24" s="2">
        <v>0.0</v>
      </c>
      <c r="D24" s="2">
        <v>0.0</v>
      </c>
      <c r="E24" s="2">
        <v>0.0</v>
      </c>
      <c r="F24" s="2">
        <v>7.685</v>
      </c>
      <c r="G24" s="2">
        <v>0.0</v>
      </c>
      <c r="H24" s="2">
        <v>1015.9485375966532</v>
      </c>
      <c r="I24" s="2">
        <v>0.0</v>
      </c>
    </row>
    <row r="25">
      <c r="A25" s="2" t="s">
        <v>83</v>
      </c>
      <c r="B25" s="2" t="s">
        <v>2</v>
      </c>
      <c r="C25" s="2">
        <v>7200.0</v>
      </c>
      <c r="D25" s="2">
        <v>4.241150082346221E19</v>
      </c>
      <c r="E25" s="2">
        <v>0.042411500823462206</v>
      </c>
      <c r="F25" s="7">
        <v>1.9999999999999998</v>
      </c>
      <c r="G25" s="2">
        <v>0.0848230016469244</v>
      </c>
      <c r="H25" s="2">
        <v>254.6479089</v>
      </c>
      <c r="I25" s="2">
        <v>21.599999996010556</v>
      </c>
    </row>
    <row r="26">
      <c r="A26" s="2" t="s">
        <v>83</v>
      </c>
      <c r="B26" s="2" t="s">
        <v>4</v>
      </c>
      <c r="C26" s="2">
        <v>56940.0</v>
      </c>
      <c r="D26" s="2">
        <v>3.354042856788803E20</v>
      </c>
      <c r="E26" s="2">
        <v>0.3354042856788803</v>
      </c>
      <c r="F26" s="7">
        <v>2.7</v>
      </c>
      <c r="G26" s="2">
        <v>0.9055915713329769</v>
      </c>
      <c r="H26" s="2">
        <v>10.72688123</v>
      </c>
      <c r="I26" s="2">
        <v>9.714173228577916</v>
      </c>
    </row>
    <row r="27">
      <c r="A27" s="2" t="s">
        <v>83</v>
      </c>
      <c r="B27" s="2" t="s">
        <v>6</v>
      </c>
      <c r="C27" s="2">
        <v>0.0</v>
      </c>
      <c r="D27" s="2">
        <v>0.0</v>
      </c>
      <c r="E27" s="2">
        <v>0.0</v>
      </c>
      <c r="F27" s="2">
        <v>2.78</v>
      </c>
      <c r="G27" s="2">
        <v>0.0</v>
      </c>
      <c r="H27" s="2">
        <v>8.408496924</v>
      </c>
      <c r="I27" s="2">
        <v>0.0</v>
      </c>
    </row>
    <row r="28">
      <c r="A28" s="2" t="s">
        <v>83</v>
      </c>
      <c r="B28" s="2" t="s">
        <v>12</v>
      </c>
      <c r="C28" s="2">
        <v>330.0</v>
      </c>
      <c r="D28" s="2">
        <v>1.9438604544086845E18</v>
      </c>
      <c r="E28" s="2">
        <v>0.0019438604544086845</v>
      </c>
      <c r="F28" s="7">
        <v>8.9</v>
      </c>
      <c r="G28" s="2">
        <v>0.017300358044237293</v>
      </c>
      <c r="H28" s="2">
        <v>44.5000451259104</v>
      </c>
      <c r="I28" s="2">
        <v>0.7698667136629664</v>
      </c>
    </row>
    <row r="29">
      <c r="A29" s="2" t="s">
        <v>83</v>
      </c>
      <c r="B29" s="2" t="s">
        <v>74</v>
      </c>
      <c r="C29" s="2">
        <v>13680.0</v>
      </c>
      <c r="D29" s="2">
        <v>8.05818515645782E19</v>
      </c>
      <c r="E29" s="2">
        <v>0.0805818515645782</v>
      </c>
      <c r="F29" s="7">
        <v>2.2</v>
      </c>
      <c r="G29" s="2">
        <v>0.17728007344207206</v>
      </c>
      <c r="H29" s="2">
        <v>13.98634348</v>
      </c>
      <c r="I29" s="2">
        <v>2.4794999993204456</v>
      </c>
    </row>
    <row r="30">
      <c r="A30" s="2" t="s">
        <v>83</v>
      </c>
      <c r="B30" s="2" t="s">
        <v>75</v>
      </c>
      <c r="C30" s="2">
        <v>6600.0</v>
      </c>
      <c r="D30" s="2">
        <v>3.8877209088173695E19</v>
      </c>
      <c r="E30" s="2">
        <v>0.03887720908817369</v>
      </c>
      <c r="F30" s="7">
        <v>8.959999999999999</v>
      </c>
      <c r="G30" s="2">
        <v>0.34833979343003624</v>
      </c>
      <c r="H30" s="2">
        <v>6.090112618</v>
      </c>
      <c r="I30" s="2">
        <v>2.121428571319777</v>
      </c>
    </row>
    <row r="31">
      <c r="A31" s="2" t="s">
        <v>83</v>
      </c>
      <c r="B31" s="2" t="s">
        <v>82</v>
      </c>
      <c r="C31" s="2">
        <v>216.0</v>
      </c>
      <c r="D31" s="2">
        <v>1.272345024703866E18</v>
      </c>
      <c r="E31" s="2">
        <v>0.0012723450247038662</v>
      </c>
      <c r="F31" s="2">
        <v>9.69</v>
      </c>
      <c r="G31" s="2">
        <v>0.012329023289380462</v>
      </c>
      <c r="H31" s="2">
        <v>24.90282413547882</v>
      </c>
      <c r="I31" s="2">
        <v>0.3070274987376642</v>
      </c>
    </row>
    <row r="32">
      <c r="A32" s="2" t="s">
        <v>83</v>
      </c>
      <c r="B32" s="2" t="s">
        <v>22</v>
      </c>
      <c r="C32" s="2">
        <v>0.0</v>
      </c>
      <c r="D32" s="2">
        <v>0.0</v>
      </c>
      <c r="E32" s="2">
        <v>0.0</v>
      </c>
      <c r="F32" s="2">
        <v>18.63</v>
      </c>
      <c r="G32" s="2">
        <v>0.0</v>
      </c>
      <c r="H32" s="2">
        <v>19053.34</v>
      </c>
      <c r="I32" s="2">
        <v>0.0</v>
      </c>
    </row>
    <row r="33">
      <c r="A33" s="2" t="s">
        <v>83</v>
      </c>
      <c r="B33" s="2" t="s">
        <v>84</v>
      </c>
      <c r="C33" s="2">
        <v>0.0</v>
      </c>
      <c r="D33" s="2">
        <v>0.0</v>
      </c>
      <c r="E33" s="2">
        <v>0.0</v>
      </c>
      <c r="F33" s="7">
        <v>2.33</v>
      </c>
      <c r="G33" s="2">
        <v>0.0</v>
      </c>
      <c r="H33" s="2">
        <v>4.130951538</v>
      </c>
      <c r="I33" s="2">
        <v>0.0</v>
      </c>
    </row>
    <row r="34">
      <c r="A34" s="2" t="s">
        <v>83</v>
      </c>
      <c r="B34" s="2" t="s">
        <v>28</v>
      </c>
      <c r="C34" s="2">
        <v>433560.0</v>
      </c>
      <c r="D34" s="2">
        <v>2.5538792079194823E21</v>
      </c>
      <c r="E34" s="2">
        <v>2.5538792079194823</v>
      </c>
      <c r="F34" s="7">
        <v>0.9659999999999999</v>
      </c>
      <c r="G34" s="2">
        <v>2.4670473148502197</v>
      </c>
      <c r="H34" s="2">
        <v>4.2</v>
      </c>
      <c r="I34" s="2">
        <v>10.361598722370923</v>
      </c>
    </row>
    <row r="35">
      <c r="A35" s="2" t="s">
        <v>83</v>
      </c>
      <c r="B35" s="2" t="s">
        <v>30</v>
      </c>
      <c r="C35" s="2">
        <v>660.0</v>
      </c>
      <c r="D35" s="2">
        <v>3.887720908817369E18</v>
      </c>
      <c r="E35" s="2">
        <v>0.003887720908817369</v>
      </c>
      <c r="F35" s="7">
        <v>2.29</v>
      </c>
      <c r="G35" s="2">
        <v>0.008902880881191774</v>
      </c>
      <c r="H35" s="2">
        <v>308.8887784</v>
      </c>
      <c r="I35" s="2">
        <v>2.7499999996320423</v>
      </c>
    </row>
    <row r="36">
      <c r="A36" s="2" t="s">
        <v>83</v>
      </c>
      <c r="B36" s="2" t="s">
        <v>32</v>
      </c>
      <c r="C36" s="2">
        <v>1440.0</v>
      </c>
      <c r="D36" s="2">
        <v>8.482300164692441E18</v>
      </c>
      <c r="E36" s="2">
        <v>0.008482300164692442</v>
      </c>
      <c r="F36" s="7">
        <v>3.3299999999999996</v>
      </c>
      <c r="G36" s="2">
        <v>0.02824605954842583</v>
      </c>
      <c r="H36" s="2">
        <v>67.97408314</v>
      </c>
      <c r="I36" s="2">
        <v>1.9200000001220883</v>
      </c>
    </row>
    <row r="37">
      <c r="A37" s="2" t="s">
        <v>83</v>
      </c>
      <c r="B37" s="2" t="s">
        <v>36</v>
      </c>
      <c r="C37" s="2">
        <v>13848.0</v>
      </c>
      <c r="D37" s="2">
        <v>8.157145325045898E19</v>
      </c>
      <c r="E37" s="2">
        <v>0.08157145325045898</v>
      </c>
      <c r="F37" s="7">
        <v>3.17</v>
      </c>
      <c r="G37" s="2">
        <v>0.2585815068039549</v>
      </c>
      <c r="H37" s="2">
        <v>64.5720543</v>
      </c>
      <c r="I37" s="2">
        <v>16.697139098320797</v>
      </c>
    </row>
    <row r="38">
      <c r="A38" s="2" t="s">
        <v>83</v>
      </c>
      <c r="B38" s="2" t="s">
        <v>38</v>
      </c>
      <c r="C38" s="2">
        <v>130824.0</v>
      </c>
      <c r="D38" s="2">
        <v>7.706169699623082E20</v>
      </c>
      <c r="E38" s="2">
        <v>0.7706169699623082</v>
      </c>
      <c r="F38" s="7">
        <v>2.13</v>
      </c>
      <c r="G38" s="2">
        <v>1.6414141460197165</v>
      </c>
      <c r="H38" s="2">
        <v>2.046463887</v>
      </c>
      <c r="I38" s="2">
        <v>3.3590947734402943</v>
      </c>
    </row>
    <row r="39">
      <c r="A39" s="2" t="s">
        <v>83</v>
      </c>
      <c r="B39" s="2" t="s">
        <v>40</v>
      </c>
      <c r="C39" s="2">
        <v>10584.0</v>
      </c>
      <c r="D39" s="2">
        <v>6.234490621048944E19</v>
      </c>
      <c r="E39" s="2">
        <v>0.062344906210489444</v>
      </c>
      <c r="F39" s="2">
        <v>2.0</v>
      </c>
      <c r="G39" s="2">
        <v>0.12468981242097889</v>
      </c>
      <c r="H39" s="2">
        <v>88.01299960362851</v>
      </c>
      <c r="I39" s="2">
        <v>10.97432441118413</v>
      </c>
    </row>
    <row r="40">
      <c r="A40" s="2" t="s">
        <v>83</v>
      </c>
      <c r="B40" s="2" t="s">
        <v>42</v>
      </c>
      <c r="C40" s="2">
        <v>4228.799999999999</v>
      </c>
      <c r="D40" s="2">
        <v>2.4909688150313468E19</v>
      </c>
      <c r="E40" s="2">
        <v>0.02490968815031347</v>
      </c>
      <c r="F40" s="7">
        <v>2.81</v>
      </c>
      <c r="G40" s="2">
        <v>0.06999622370238084</v>
      </c>
      <c r="H40" s="2">
        <v>37.87056387</v>
      </c>
      <c r="I40" s="2">
        <v>2.6507964603798215</v>
      </c>
    </row>
    <row r="41">
      <c r="A41" s="2" t="s">
        <v>83</v>
      </c>
      <c r="B41" s="2" t="s">
        <v>44</v>
      </c>
      <c r="C41" s="2">
        <v>270.0</v>
      </c>
      <c r="D41" s="2">
        <v>1.5904312808798328E18</v>
      </c>
      <c r="E41" s="2">
        <v>0.0015904312808798329</v>
      </c>
      <c r="F41" s="2">
        <v>16.7</v>
      </c>
      <c r="G41" s="2">
        <v>0.02656020239069321</v>
      </c>
      <c r="H41" s="2">
        <v>170.8356</v>
      </c>
      <c r="I41" s="2">
        <v>4.537428111535509</v>
      </c>
    </row>
    <row r="42">
      <c r="A42" s="2" t="s">
        <v>83</v>
      </c>
      <c r="B42" s="2" t="s">
        <v>46</v>
      </c>
      <c r="C42" s="2">
        <v>270.0</v>
      </c>
      <c r="D42" s="2">
        <v>1.5904312808798328E18</v>
      </c>
      <c r="E42" s="2">
        <v>0.0015904312808798329</v>
      </c>
      <c r="F42" s="7">
        <v>13.699999999999998</v>
      </c>
      <c r="G42" s="2">
        <v>0.021788908548053706</v>
      </c>
      <c r="H42" s="2">
        <v>25.81588696</v>
      </c>
      <c r="I42" s="2">
        <v>0.5625000000583322</v>
      </c>
    </row>
    <row r="43">
      <c r="A43" s="2" t="s">
        <v>83</v>
      </c>
      <c r="B43" s="2" t="s">
        <v>48</v>
      </c>
      <c r="C43" s="2">
        <v>3600.0</v>
      </c>
      <c r="D43" s="2">
        <v>2.1205750411731104E19</v>
      </c>
      <c r="E43" s="2">
        <v>0.021205750411731103</v>
      </c>
      <c r="F43" s="7">
        <v>0.9399999999999998</v>
      </c>
      <c r="G43" s="2">
        <v>0.019933405387027234</v>
      </c>
      <c r="H43" s="2">
        <v>2.859521436</v>
      </c>
      <c r="I43" s="2">
        <v>0.05699999999668225</v>
      </c>
    </row>
    <row r="44">
      <c r="A44" s="2" t="s">
        <v>83</v>
      </c>
      <c r="B44" s="2" t="s">
        <v>50</v>
      </c>
      <c r="C44" s="2">
        <v>150.0</v>
      </c>
      <c r="D44" s="2">
        <v>8.835729338221294E17</v>
      </c>
      <c r="E44" s="2">
        <v>8.835729338221294E-4</v>
      </c>
      <c r="F44" s="7">
        <v>4.5</v>
      </c>
      <c r="G44" s="2">
        <v>0.003976078202199583</v>
      </c>
      <c r="H44" s="2">
        <v>47.63335371</v>
      </c>
      <c r="I44" s="2">
        <v>0.18939393938399363</v>
      </c>
    </row>
    <row r="45">
      <c r="A45" s="2" t="s">
        <v>83</v>
      </c>
      <c r="B45" s="2" t="s">
        <v>52</v>
      </c>
      <c r="C45" s="2">
        <v>1128.0</v>
      </c>
      <c r="D45" s="2">
        <v>6.644468462342413E18</v>
      </c>
      <c r="E45" s="2">
        <v>0.006644468462342413</v>
      </c>
      <c r="F45" s="7">
        <v>5.209999999999999</v>
      </c>
      <c r="G45" s="2">
        <v>0.03461768068880397</v>
      </c>
      <c r="H45" s="2">
        <v>43.97783202</v>
      </c>
      <c r="I45" s="2">
        <v>1.522410546254219</v>
      </c>
    </row>
    <row r="46">
      <c r="A46" s="2" t="s">
        <v>83</v>
      </c>
      <c r="B46" s="2" t="s">
        <v>56</v>
      </c>
      <c r="C46" s="2">
        <v>4296.0</v>
      </c>
      <c r="D46" s="2">
        <v>2.5305528824665784E19</v>
      </c>
      <c r="E46" s="2">
        <v>0.025305528824665784</v>
      </c>
      <c r="F46" s="7">
        <v>19.3</v>
      </c>
      <c r="G46" s="2">
        <v>0.48839670631604964</v>
      </c>
      <c r="H46" s="2">
        <v>75.81493114</v>
      </c>
      <c r="I46" s="2">
        <v>37.027762658354106</v>
      </c>
    </row>
    <row r="47">
      <c r="A47" s="2" t="s">
        <v>83</v>
      </c>
      <c r="B47" s="2" t="s">
        <v>60</v>
      </c>
      <c r="C47" s="2">
        <v>28.799999999999997</v>
      </c>
      <c r="D47" s="2">
        <v>1.6964600329384883E17</v>
      </c>
      <c r="E47" s="2">
        <v>1.6964600329384883E-4</v>
      </c>
      <c r="F47" s="2">
        <v>4.8149999999999995</v>
      </c>
      <c r="G47" s="2">
        <v>8.16845505859882E-4</v>
      </c>
      <c r="H47" s="2">
        <v>1065.070666154757</v>
      </c>
      <c r="I47" s="2">
        <v>0.869998187071704</v>
      </c>
    </row>
    <row r="48">
      <c r="A48" s="2" t="s">
        <v>83</v>
      </c>
      <c r="B48" s="2" t="s">
        <v>62</v>
      </c>
      <c r="C48" s="2">
        <v>19.200000000000003</v>
      </c>
      <c r="D48" s="2">
        <v>1.1309733552923256E17</v>
      </c>
      <c r="E48" s="2">
        <v>1.1309733552923256E-4</v>
      </c>
      <c r="F48" s="2">
        <v>6.44</v>
      </c>
      <c r="G48" s="2">
        <v>7.283468408082577E-4</v>
      </c>
      <c r="H48" s="2">
        <v>1008.6373963173792</v>
      </c>
      <c r="I48" s="2">
        <v>0.7346378611288297</v>
      </c>
    </row>
    <row r="49">
      <c r="A49" s="2" t="s">
        <v>83</v>
      </c>
      <c r="B49" s="2" t="s">
        <v>64</v>
      </c>
      <c r="C49" s="2">
        <v>19.200000000000003</v>
      </c>
      <c r="D49" s="2">
        <v>1.1309733552923256E17</v>
      </c>
      <c r="E49" s="2">
        <v>1.1309733552923256E-4</v>
      </c>
      <c r="F49" s="2">
        <v>7.685</v>
      </c>
      <c r="G49" s="2">
        <v>8.691530235421522E-4</v>
      </c>
      <c r="H49" s="2">
        <v>1015.9485375966532</v>
      </c>
      <c r="I49" s="2">
        <v>0.883014743215359</v>
      </c>
    </row>
    <row r="50">
      <c r="A50" s="3" t="s">
        <v>85</v>
      </c>
      <c r="B50" s="2" t="s">
        <v>2</v>
      </c>
      <c r="C50" s="2">
        <v>0.0</v>
      </c>
      <c r="D50" s="2">
        <v>0.0</v>
      </c>
      <c r="E50" s="2">
        <v>0.0</v>
      </c>
      <c r="F50" s="7">
        <v>1.9999999999999998</v>
      </c>
      <c r="G50" s="2">
        <v>0.0</v>
      </c>
      <c r="H50" s="2">
        <v>254.6479089</v>
      </c>
      <c r="I50" s="2">
        <v>0.0</v>
      </c>
    </row>
    <row r="51">
      <c r="A51" s="3" t="s">
        <v>85</v>
      </c>
      <c r="B51" s="2" t="s">
        <v>4</v>
      </c>
      <c r="C51" s="2">
        <v>0.0</v>
      </c>
      <c r="D51" s="2">
        <v>0.0</v>
      </c>
      <c r="E51" s="2">
        <v>0.0</v>
      </c>
      <c r="F51" s="7">
        <v>2.7</v>
      </c>
      <c r="G51" s="2">
        <v>0.0</v>
      </c>
      <c r="H51" s="2">
        <v>10.72688123</v>
      </c>
      <c r="I51" s="2">
        <v>0.0</v>
      </c>
    </row>
    <row r="52">
      <c r="A52" s="3" t="s">
        <v>85</v>
      </c>
      <c r="B52" s="2" t="s">
        <v>6</v>
      </c>
      <c r="C52" s="2">
        <v>0.0</v>
      </c>
      <c r="D52" s="2">
        <v>0.0</v>
      </c>
      <c r="E52" s="2">
        <v>0.0</v>
      </c>
      <c r="F52" s="2">
        <v>2.78</v>
      </c>
      <c r="G52" s="2">
        <v>0.0</v>
      </c>
      <c r="H52" s="2">
        <v>8.408496924</v>
      </c>
      <c r="I52" s="2">
        <v>0.0</v>
      </c>
    </row>
    <row r="53">
      <c r="A53" s="3" t="s">
        <v>85</v>
      </c>
      <c r="B53" s="2" t="s">
        <v>12</v>
      </c>
      <c r="C53" s="2">
        <v>0.0</v>
      </c>
      <c r="D53" s="2">
        <v>0.0</v>
      </c>
      <c r="E53" s="2">
        <v>0.0</v>
      </c>
      <c r="F53" s="7">
        <v>8.9</v>
      </c>
      <c r="G53" s="2">
        <v>0.0</v>
      </c>
      <c r="H53" s="2">
        <v>44.5000451259104</v>
      </c>
      <c r="I53" s="2">
        <v>0.0</v>
      </c>
    </row>
    <row r="54">
      <c r="A54" s="3" t="s">
        <v>85</v>
      </c>
      <c r="B54" s="2" t="s">
        <v>74</v>
      </c>
      <c r="C54" s="2">
        <v>0.0</v>
      </c>
      <c r="D54" s="2">
        <v>0.0</v>
      </c>
      <c r="E54" s="2">
        <v>0.0</v>
      </c>
      <c r="F54" s="7">
        <v>2.2</v>
      </c>
      <c r="G54" s="2">
        <v>0.0</v>
      </c>
      <c r="H54" s="2">
        <v>13.98634348</v>
      </c>
      <c r="I54" s="2">
        <v>0.0</v>
      </c>
    </row>
    <row r="55">
      <c r="A55" s="3" t="s">
        <v>85</v>
      </c>
      <c r="B55" s="2" t="s">
        <v>75</v>
      </c>
      <c r="C55" s="2">
        <v>5591.666666666666</v>
      </c>
      <c r="D55" s="2">
        <v>3.952516257297658E20</v>
      </c>
      <c r="E55" s="2">
        <v>0.3952516257297658</v>
      </c>
      <c r="F55" s="7">
        <v>8.959999999999999</v>
      </c>
      <c r="G55" s="2">
        <v>3.541454566538701</v>
      </c>
      <c r="H55" s="2">
        <v>6.090112618</v>
      </c>
      <c r="I55" s="2">
        <v>21.567857141751066</v>
      </c>
    </row>
    <row r="56">
      <c r="A56" s="3" t="s">
        <v>85</v>
      </c>
      <c r="B56" s="2" t="s">
        <v>82</v>
      </c>
      <c r="C56" s="2">
        <v>0.0</v>
      </c>
      <c r="D56" s="2">
        <v>0.0</v>
      </c>
      <c r="E56" s="2">
        <v>0.0</v>
      </c>
      <c r="F56" s="2">
        <v>9.69</v>
      </c>
      <c r="G56" s="2">
        <v>0.0</v>
      </c>
      <c r="H56" s="2">
        <v>24.90282413547882</v>
      </c>
      <c r="I56" s="2">
        <v>0.0</v>
      </c>
    </row>
    <row r="57">
      <c r="A57" s="3" t="s">
        <v>85</v>
      </c>
      <c r="B57" s="2" t="s">
        <v>22</v>
      </c>
      <c r="C57" s="2">
        <v>26.0</v>
      </c>
      <c r="D57" s="2">
        <v>1.837831702350029E18</v>
      </c>
      <c r="E57" s="2">
        <v>0.001837831702350029</v>
      </c>
      <c r="F57" s="2">
        <v>18.63</v>
      </c>
      <c r="G57" s="2">
        <v>0.03423880461478104</v>
      </c>
      <c r="H57" s="2">
        <v>19053.34</v>
      </c>
      <c r="I57" s="2">
        <v>652.3635855189923</v>
      </c>
    </row>
    <row r="58">
      <c r="A58" s="3" t="s">
        <v>85</v>
      </c>
      <c r="B58" s="2" t="s">
        <v>84</v>
      </c>
      <c r="C58" s="2">
        <v>130.0</v>
      </c>
      <c r="D58" s="2">
        <v>9.189158511750144E18</v>
      </c>
      <c r="E58" s="2">
        <v>0.009189158511750143</v>
      </c>
      <c r="F58" s="7">
        <v>2.33</v>
      </c>
      <c r="G58" s="2">
        <v>0.021410739332377835</v>
      </c>
      <c r="H58" s="2">
        <v>4.130951538</v>
      </c>
      <c r="I58" s="2">
        <v>0.0884467265748033</v>
      </c>
    </row>
    <row r="59">
      <c r="A59" s="3" t="s">
        <v>85</v>
      </c>
      <c r="B59" s="2" t="s">
        <v>28</v>
      </c>
      <c r="C59" s="2">
        <v>28500.0</v>
      </c>
      <c r="D59" s="2">
        <v>2.0145462891144547E21</v>
      </c>
      <c r="E59" s="2">
        <v>2.0145462891144548</v>
      </c>
      <c r="F59" s="7">
        <v>0.9659999999999999</v>
      </c>
      <c r="G59" s="2">
        <v>1.946051715284563</v>
      </c>
      <c r="H59" s="2">
        <v>4.2</v>
      </c>
      <c r="I59" s="2">
        <v>8.173417204195166</v>
      </c>
    </row>
    <row r="60">
      <c r="A60" s="3" t="s">
        <v>85</v>
      </c>
      <c r="B60" s="2" t="s">
        <v>30</v>
      </c>
      <c r="C60" s="2">
        <v>0.0</v>
      </c>
      <c r="D60" s="2">
        <v>0.0</v>
      </c>
      <c r="E60" s="2">
        <v>0.0</v>
      </c>
      <c r="F60" s="7">
        <v>2.29</v>
      </c>
      <c r="G60" s="2">
        <v>0.0</v>
      </c>
      <c r="H60" s="2">
        <v>308.8887784</v>
      </c>
      <c r="I60" s="2">
        <v>0.0</v>
      </c>
    </row>
    <row r="61">
      <c r="A61" s="3" t="s">
        <v>85</v>
      </c>
      <c r="B61" s="2" t="s">
        <v>32</v>
      </c>
      <c r="C61" s="2">
        <v>984.0</v>
      </c>
      <c r="D61" s="2">
        <v>6.955486135047802E19</v>
      </c>
      <c r="E61" s="2">
        <v>0.06955486135047802</v>
      </c>
      <c r="F61" s="7">
        <v>3.3299999999999996</v>
      </c>
      <c r="G61" s="2">
        <v>0.23161768829709178</v>
      </c>
      <c r="H61" s="2">
        <v>67.97408314</v>
      </c>
      <c r="I61" s="2">
        <v>15.744000001001123</v>
      </c>
    </row>
    <row r="62">
      <c r="A62" s="3" t="s">
        <v>85</v>
      </c>
      <c r="B62" s="2" t="s">
        <v>36</v>
      </c>
      <c r="C62" s="2">
        <v>328.0</v>
      </c>
      <c r="D62" s="2">
        <v>2.318495378349267E19</v>
      </c>
      <c r="E62" s="2">
        <v>0.023184953783492668</v>
      </c>
      <c r="F62" s="7">
        <v>3.17</v>
      </c>
      <c r="G62" s="2">
        <v>0.07349630349367176</v>
      </c>
      <c r="H62" s="2">
        <v>64.5720543</v>
      </c>
      <c r="I62" s="2">
        <v>4.745807300042653</v>
      </c>
    </row>
    <row r="63">
      <c r="A63" s="3" t="s">
        <v>85</v>
      </c>
      <c r="B63" s="2" t="s">
        <v>38</v>
      </c>
      <c r="C63" s="2">
        <v>5909.0</v>
      </c>
      <c r="D63" s="2">
        <v>4.17682597276397E20</v>
      </c>
      <c r="E63" s="2">
        <v>0.417682597276397</v>
      </c>
      <c r="F63" s="7">
        <v>2.13</v>
      </c>
      <c r="G63" s="2">
        <v>0.8896639321987255</v>
      </c>
      <c r="H63" s="2">
        <v>2.046463887</v>
      </c>
      <c r="I63" s="2">
        <v>1.820665108811108</v>
      </c>
    </row>
    <row r="64">
      <c r="A64" s="3" t="s">
        <v>85</v>
      </c>
      <c r="B64" s="2" t="s">
        <v>40</v>
      </c>
      <c r="C64" s="2">
        <v>0.0</v>
      </c>
      <c r="D64" s="2">
        <v>0.0</v>
      </c>
      <c r="E64" s="2">
        <v>0.0</v>
      </c>
      <c r="F64" s="2">
        <v>2.0</v>
      </c>
      <c r="G64" s="2">
        <v>0.0</v>
      </c>
      <c r="H64" s="2">
        <v>88.01299960362851</v>
      </c>
      <c r="I64" s="2">
        <v>0.0</v>
      </c>
    </row>
    <row r="65">
      <c r="A65" s="3" t="s">
        <v>85</v>
      </c>
      <c r="B65" s="2" t="s">
        <v>42</v>
      </c>
      <c r="C65" s="2">
        <v>9.6</v>
      </c>
      <c r="D65" s="2">
        <v>6.785840131753953E17</v>
      </c>
      <c r="E65" s="2">
        <v>6.785840131753953E-4</v>
      </c>
      <c r="F65" s="7">
        <v>2.81</v>
      </c>
      <c r="G65" s="2">
        <v>0.001906821077022861</v>
      </c>
      <c r="H65" s="2">
        <v>37.87056387</v>
      </c>
      <c r="I65" s="2">
        <v>0.07221238938605644</v>
      </c>
    </row>
    <row r="66">
      <c r="A66" s="3" t="s">
        <v>85</v>
      </c>
      <c r="B66" s="2" t="s">
        <v>44</v>
      </c>
      <c r="C66" s="2">
        <v>41.66666666666667</v>
      </c>
      <c r="D66" s="2">
        <v>2.945243112740431E18</v>
      </c>
      <c r="E66" s="2">
        <v>0.002945243112740431</v>
      </c>
      <c r="F66" s="2">
        <v>16.7</v>
      </c>
      <c r="G66" s="2">
        <v>0.04918555998276519</v>
      </c>
      <c r="H66" s="2">
        <v>170.8356</v>
      </c>
      <c r="I66" s="2">
        <v>8.40264465099168</v>
      </c>
    </row>
    <row r="67">
      <c r="A67" s="3" t="s">
        <v>85</v>
      </c>
      <c r="B67" s="2" t="s">
        <v>46</v>
      </c>
      <c r="C67" s="2">
        <v>41.66666666666667</v>
      </c>
      <c r="D67" s="2">
        <v>2.945243112740431E18</v>
      </c>
      <c r="E67" s="2">
        <v>0.002945243112740431</v>
      </c>
      <c r="F67" s="7">
        <v>13.699999999999998</v>
      </c>
      <c r="G67" s="2">
        <v>0.040349830644543894</v>
      </c>
      <c r="H67" s="2">
        <v>25.81588696</v>
      </c>
      <c r="I67" s="2">
        <v>1.0416666667746892</v>
      </c>
    </row>
    <row r="68">
      <c r="A68" s="3" t="s">
        <v>85</v>
      </c>
      <c r="B68" s="2" t="s">
        <v>48</v>
      </c>
      <c r="C68" s="2">
        <v>0.0</v>
      </c>
      <c r="D68" s="2">
        <v>0.0</v>
      </c>
      <c r="E68" s="2">
        <v>0.0</v>
      </c>
      <c r="F68" s="7">
        <v>0.9399999999999998</v>
      </c>
      <c r="G68" s="2">
        <v>0.0</v>
      </c>
      <c r="H68" s="2">
        <v>2.859521436</v>
      </c>
      <c r="I68" s="2">
        <v>0.0</v>
      </c>
    </row>
    <row r="69">
      <c r="A69" s="3" t="s">
        <v>85</v>
      </c>
      <c r="B69" s="2" t="s">
        <v>50</v>
      </c>
      <c r="C69" s="2">
        <v>0.0</v>
      </c>
      <c r="D69" s="2">
        <v>0.0</v>
      </c>
      <c r="E69" s="2">
        <v>0.0</v>
      </c>
      <c r="F69" s="7">
        <v>4.5</v>
      </c>
      <c r="G69" s="2">
        <v>0.0</v>
      </c>
      <c r="H69" s="2">
        <v>47.63335371</v>
      </c>
      <c r="I69" s="2">
        <v>0.0</v>
      </c>
    </row>
    <row r="70">
      <c r="A70" s="3" t="s">
        <v>85</v>
      </c>
      <c r="B70" s="2" t="s">
        <v>52</v>
      </c>
      <c r="C70" s="2">
        <v>24.0</v>
      </c>
      <c r="D70" s="2">
        <v>1.6964600329384883E18</v>
      </c>
      <c r="E70" s="2">
        <v>0.0016964600329384884</v>
      </c>
      <c r="F70" s="7">
        <v>5.209999999999999</v>
      </c>
      <c r="G70" s="2">
        <v>0.008838556771609524</v>
      </c>
      <c r="H70" s="2">
        <v>43.97783202</v>
      </c>
      <c r="I70" s="2">
        <v>0.38870056500107714</v>
      </c>
    </row>
    <row r="71">
      <c r="A71" s="3" t="s">
        <v>85</v>
      </c>
      <c r="B71" s="2" t="s">
        <v>56</v>
      </c>
      <c r="C71" s="2">
        <v>500.0</v>
      </c>
      <c r="D71" s="2">
        <v>3.534291735288517E19</v>
      </c>
      <c r="E71" s="2">
        <v>0.03534291735288517</v>
      </c>
      <c r="F71" s="7">
        <v>19.3</v>
      </c>
      <c r="G71" s="2">
        <v>0.6821183049106837</v>
      </c>
      <c r="H71" s="2">
        <v>75.81493114</v>
      </c>
      <c r="I71" s="2">
        <v>51.71475231613701</v>
      </c>
    </row>
    <row r="72">
      <c r="A72" s="3" t="s">
        <v>85</v>
      </c>
      <c r="B72" s="2" t="s">
        <v>60</v>
      </c>
      <c r="C72" s="2">
        <v>0.0</v>
      </c>
      <c r="D72" s="2">
        <v>0.0</v>
      </c>
      <c r="E72" s="2">
        <v>0.0</v>
      </c>
      <c r="F72" s="2">
        <v>4.8149999999999995</v>
      </c>
      <c r="G72" s="2">
        <v>0.0</v>
      </c>
      <c r="H72" s="2">
        <v>1065.070666154757</v>
      </c>
      <c r="I72" s="2">
        <v>0.0</v>
      </c>
    </row>
    <row r="73">
      <c r="A73" s="3" t="s">
        <v>85</v>
      </c>
      <c r="B73" s="2" t="s">
        <v>62</v>
      </c>
      <c r="C73" s="2">
        <v>0.0</v>
      </c>
      <c r="D73" s="2">
        <v>0.0</v>
      </c>
      <c r="E73" s="2">
        <v>0.0</v>
      </c>
      <c r="F73" s="2">
        <v>6.44</v>
      </c>
      <c r="G73" s="2">
        <v>0.0</v>
      </c>
      <c r="H73" s="2">
        <v>1008.6373963173792</v>
      </c>
      <c r="I73" s="2">
        <v>0.0</v>
      </c>
    </row>
    <row r="74">
      <c r="A74" s="3" t="s">
        <v>85</v>
      </c>
      <c r="B74" s="2" t="s">
        <v>64</v>
      </c>
      <c r="C74" s="2">
        <v>0.0</v>
      </c>
      <c r="D74" s="2">
        <v>0.0</v>
      </c>
      <c r="E74" s="2">
        <v>0.0</v>
      </c>
      <c r="F74" s="2">
        <v>7.685</v>
      </c>
      <c r="G74" s="2">
        <v>0.0</v>
      </c>
      <c r="H74" s="2">
        <v>1015.9485375966532</v>
      </c>
      <c r="I74" s="2">
        <v>0.0</v>
      </c>
    </row>
    <row r="76">
      <c r="H76" s="4" t="s">
        <v>78</v>
      </c>
      <c r="I76" s="2">
        <v>982.2512433382799</v>
      </c>
    </row>
    <row r="77">
      <c r="H77" s="4" t="s">
        <v>79</v>
      </c>
    </row>
  </sheetData>
  <drawing r:id="rId1"/>
</worksheet>
</file>