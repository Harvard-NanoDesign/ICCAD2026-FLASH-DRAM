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https://hu-my.sharepoint.com/personal/dgreystewart_fas_harvard_edu/Documents/Fall 2026-Danielle's MacBook Pro/ICCAD Github/DRAM Data/"/>
    </mc:Choice>
  </mc:AlternateContent>
  <xr:revisionPtr revIDLastSave="3" documentId="8_{DBDCB586-9011-A542-8F80-680BD66DFDBA}" xr6:coauthVersionLast="47" xr6:coauthVersionMax="47" xr10:uidLastSave="{0C0D2A8D-FCD4-B649-A53A-AF0B00066D8E}"/>
  <bookViews>
    <workbookView xWindow="0" yWindow="660" windowWidth="30240" windowHeight="17520" activeTab="7" xr2:uid="{00000000-000D-0000-FFFF-FFFF00000000}"/>
  </bookViews>
  <sheets>
    <sheet name="Glossary" sheetId="1" r:id="rId1"/>
    <sheet name="BG1" sheetId="2" r:id="rId2"/>
    <sheet name="BG2" sheetId="3" r:id="rId3"/>
    <sheet name="VG1" sheetId="4" r:id="rId4"/>
    <sheet name="VG2" sheetId="5" r:id="rId5"/>
    <sheet name="VG3" sheetId="6" r:id="rId6"/>
    <sheet name="3D13D2" sheetId="7" r:id="rId7"/>
    <sheet name="IGZO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3" l="1"/>
  <c r="D24" i="3" s="1"/>
  <c r="F24" i="3" s="1"/>
  <c r="H24" i="3" s="1"/>
  <c r="C23" i="3"/>
  <c r="D23" i="3" s="1"/>
  <c r="F23" i="3" s="1"/>
  <c r="H23" i="3" s="1"/>
  <c r="C22" i="3"/>
  <c r="D22" i="3" s="1"/>
  <c r="F22" i="3" s="1"/>
  <c r="H22" i="3" s="1"/>
  <c r="H21" i="3"/>
  <c r="C20" i="3"/>
  <c r="D20" i="3" s="1"/>
  <c r="F20" i="3" s="1"/>
  <c r="H20" i="3" s="1"/>
  <c r="C19" i="3"/>
  <c r="D19" i="3" s="1"/>
  <c r="F19" i="3" s="1"/>
  <c r="H19" i="3" s="1"/>
  <c r="D18" i="3"/>
  <c r="F18" i="3" s="1"/>
  <c r="H18" i="3" s="1"/>
  <c r="C18" i="3"/>
  <c r="C17" i="3"/>
  <c r="D17" i="3" s="1"/>
  <c r="F17" i="3" s="1"/>
  <c r="H17" i="3" s="1"/>
  <c r="C16" i="3"/>
  <c r="D16" i="3" s="1"/>
  <c r="F16" i="3" s="1"/>
  <c r="H16" i="3" s="1"/>
  <c r="C15" i="3"/>
  <c r="D15" i="3" s="1"/>
  <c r="F15" i="3" s="1"/>
  <c r="H15" i="3" s="1"/>
  <c r="C14" i="3"/>
  <c r="D14" i="3" s="1"/>
  <c r="F14" i="3" s="1"/>
  <c r="H14" i="3" s="1"/>
  <c r="D13" i="3"/>
  <c r="F13" i="3" s="1"/>
  <c r="H13" i="3" s="1"/>
  <c r="C13" i="3"/>
  <c r="C12" i="3"/>
  <c r="D12" i="3" s="1"/>
  <c r="F12" i="3" s="1"/>
  <c r="H12" i="3" s="1"/>
  <c r="C11" i="3"/>
  <c r="D11" i="3" s="1"/>
  <c r="F11" i="3" s="1"/>
  <c r="H11" i="3" s="1"/>
  <c r="C10" i="3"/>
  <c r="D10" i="3" s="1"/>
  <c r="F10" i="3" s="1"/>
  <c r="H10" i="3" s="1"/>
  <c r="C9" i="3"/>
  <c r="D9" i="3" s="1"/>
  <c r="F9" i="3" s="1"/>
  <c r="H9" i="3" s="1"/>
  <c r="D8" i="3"/>
  <c r="F8" i="3" s="1"/>
  <c r="H8" i="3" s="1"/>
  <c r="C8" i="3"/>
  <c r="C7" i="3"/>
  <c r="D7" i="3" s="1"/>
  <c r="F7" i="3" s="1"/>
  <c r="H7" i="3" s="1"/>
  <c r="C6" i="3"/>
  <c r="D6" i="3" s="1"/>
  <c r="F6" i="3" s="1"/>
  <c r="H6" i="3" s="1"/>
  <c r="C5" i="3"/>
  <c r="D5" i="3" s="1"/>
  <c r="F5" i="3" s="1"/>
  <c r="H5" i="3" s="1"/>
  <c r="C4" i="3"/>
  <c r="D4" i="3" s="1"/>
  <c r="F4" i="3" s="1"/>
  <c r="H4" i="3" s="1"/>
  <c r="D3" i="3"/>
  <c r="F3" i="3" s="1"/>
  <c r="H3" i="3" s="1"/>
  <c r="C3" i="3"/>
  <c r="C2" i="3"/>
  <c r="D2" i="3" s="1"/>
  <c r="F2" i="3" s="1"/>
  <c r="H2" i="3" s="1"/>
  <c r="H26" i="3" l="1"/>
</calcChain>
</file>

<file path=xl/sharedStrings.xml><?xml version="1.0" encoding="utf-8"?>
<sst xmlns="http://schemas.openxmlformats.org/spreadsheetml/2006/main" count="799" uniqueCount="91">
  <si>
    <t>Acronym</t>
  </si>
  <si>
    <t>Full Title</t>
  </si>
  <si>
    <t>ACL</t>
  </si>
  <si>
    <t>Amorphous carbon layer</t>
  </si>
  <si>
    <t>Al</t>
  </si>
  <si>
    <t>Aluminum</t>
  </si>
  <si>
    <t>Al(Cu)</t>
  </si>
  <si>
    <t>Aluminum-copper alloy</t>
  </si>
  <si>
    <t>c-Si</t>
  </si>
  <si>
    <t>(Single) crystalline silicon</t>
  </si>
  <si>
    <t>CHM/CSOH</t>
  </si>
  <si>
    <t>Carbon-based (spin-on) hard mask</t>
  </si>
  <si>
    <t>Co</t>
  </si>
  <si>
    <t>Cobalt</t>
  </si>
  <si>
    <t>Copper/Cu</t>
  </si>
  <si>
    <t>Copper</t>
  </si>
  <si>
    <t>HfO2/HfOx</t>
  </si>
  <si>
    <t>Hafnium oxide</t>
  </si>
  <si>
    <t>IGZO</t>
  </si>
  <si>
    <t>Indium gallium zinc oxide</t>
  </si>
  <si>
    <t>Mo</t>
  </si>
  <si>
    <t>Molybdenum</t>
  </si>
  <si>
    <t>NiPt</t>
  </si>
  <si>
    <t>Nickel platinum</t>
  </si>
  <si>
    <t>Poly-Si/Polysilicon</t>
  </si>
  <si>
    <t>Polycrystalliine silicon</t>
  </si>
  <si>
    <t>PSG</t>
  </si>
  <si>
    <t>Phosphosilicate glass</t>
  </si>
  <si>
    <t>Resist</t>
  </si>
  <si>
    <t>Photoresist</t>
  </si>
  <si>
    <t>Si</t>
  </si>
  <si>
    <t>Silicon</t>
  </si>
  <si>
    <t>SiCN</t>
  </si>
  <si>
    <t>Silicon carbonitride</t>
  </si>
  <si>
    <t>SiGe</t>
  </si>
  <si>
    <t>Silicon germanium</t>
  </si>
  <si>
    <t>SiN</t>
  </si>
  <si>
    <t>Silicon nitride</t>
  </si>
  <si>
    <t>SiO</t>
  </si>
  <si>
    <t>Silicon oxide</t>
  </si>
  <si>
    <t>SiOC</t>
  </si>
  <si>
    <t>Silicon oxycarbide</t>
  </si>
  <si>
    <t>SiON</t>
  </si>
  <si>
    <t>Silicon oxynitride</t>
  </si>
  <si>
    <t>Ta</t>
  </si>
  <si>
    <t>Tantalum</t>
  </si>
  <si>
    <t>TaN</t>
  </si>
  <si>
    <t>Tantalum nitride</t>
  </si>
  <si>
    <t>TEOS</t>
  </si>
  <si>
    <t>Tetraethyl orthosilicate</t>
  </si>
  <si>
    <t>Ti</t>
  </si>
  <si>
    <t>Titanium</t>
  </si>
  <si>
    <t>TiN</t>
  </si>
  <si>
    <t>Titanium nitride</t>
  </si>
  <si>
    <t>TiSiP</t>
  </si>
  <si>
    <t>Titanium silicon phosphorus</t>
  </si>
  <si>
    <t>W</t>
  </si>
  <si>
    <t>Tungsten</t>
  </si>
  <si>
    <t>Wafer</t>
  </si>
  <si>
    <t>Silicon wafer</t>
  </si>
  <si>
    <t>ZrAlO</t>
  </si>
  <si>
    <t>Zirconium aluminum oxide</t>
  </si>
  <si>
    <t>ZrHfAlO</t>
  </si>
  <si>
    <t>Zirconium hafnium aluminum oxide</t>
  </si>
  <si>
    <t>ZrHfO</t>
  </si>
  <si>
    <t>Zirconium hafnium oxide</t>
  </si>
  <si>
    <t>Material</t>
  </si>
  <si>
    <t>Total Thickness</t>
  </si>
  <si>
    <t>Total Volume (cubic nm)</t>
  </si>
  <si>
    <t>Total Volume (cubic cm)</t>
  </si>
  <si>
    <t>Density (g/cubic cm)</t>
  </si>
  <si>
    <t>Mass (g)</t>
  </si>
  <si>
    <t>GWP factor (kgCO2e/kg)</t>
  </si>
  <si>
    <t>MPW (gCO2e/wafer)</t>
  </si>
  <si>
    <t>CSOH</t>
  </si>
  <si>
    <t>Cu</t>
  </si>
  <si>
    <t>Polysilicon</t>
  </si>
  <si>
    <t>-</t>
  </si>
  <si>
    <t>Chemicals &amp; Materials:</t>
  </si>
  <si>
    <t>(no wafer)</t>
  </si>
  <si>
    <t>GWP factor (gCO2e/g)</t>
  </si>
  <si>
    <t>Total Thickness (nm)</t>
  </si>
  <si>
    <t>HfOx</t>
  </si>
  <si>
    <t>DRAM</t>
  </si>
  <si>
    <t>Poly-Si</t>
  </si>
  <si>
    <t>PERI</t>
  </si>
  <si>
    <t>Stacked</t>
  </si>
  <si>
    <t>CHM</t>
  </si>
  <si>
    <t>HfO2</t>
  </si>
  <si>
    <t>Chemicals &amp; materials:</t>
  </si>
  <si>
    <t>(no wafers)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</si>
</sst>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" fontId="2" fillId="0" borderId="0" xfId="0" applyNumberFormat="1" applyFont="1"/>
    <xf numFmtId="0" fontId="4" fillId="0" borderId="0" xfId="0" applyFont="1"/>
    <xf numFmtId="0" fontId="3" fillId="0" borderId="0" xfId="0" applyFont="1" applyAlignment="1">
      <alignment horizontal="right"/>
    </xf>
    <xf numFmtId="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33"/>
  <sheetViews>
    <sheetView workbookViewId="0"/>
  </sheetViews>
  <sheetFormatPr baseColWidth="10" defaultColWidth="12.6640625" defaultRowHeight="15.75" customHeight="1" x14ac:dyDescent="0.15"/>
  <sheetData>
    <row r="1" spans="1:2" ht="15.75" customHeight="1" x14ac:dyDescent="0.15">
      <c r="A1" s="1" t="s">
        <v>0</v>
      </c>
      <c r="B1" s="1" t="s">
        <v>1</v>
      </c>
    </row>
    <row r="2" spans="1:2" ht="15.75" customHeight="1" x14ac:dyDescent="0.15">
      <c r="A2" s="2" t="s">
        <v>2</v>
      </c>
      <c r="B2" s="2" t="s">
        <v>3</v>
      </c>
    </row>
    <row r="3" spans="1:2" ht="15.75" customHeight="1" x14ac:dyDescent="0.15">
      <c r="A3" s="2" t="s">
        <v>4</v>
      </c>
      <c r="B3" s="2" t="s">
        <v>5</v>
      </c>
    </row>
    <row r="4" spans="1:2" ht="15.75" customHeight="1" x14ac:dyDescent="0.15">
      <c r="A4" s="3" t="s">
        <v>6</v>
      </c>
      <c r="B4" s="2" t="s">
        <v>7</v>
      </c>
    </row>
    <row r="5" spans="1:2" ht="15.75" customHeight="1" x14ac:dyDescent="0.15">
      <c r="A5" s="2" t="s">
        <v>8</v>
      </c>
      <c r="B5" s="2" t="s">
        <v>9</v>
      </c>
    </row>
    <row r="6" spans="1:2" ht="15.75" customHeight="1" x14ac:dyDescent="0.15">
      <c r="A6" s="2" t="s">
        <v>10</v>
      </c>
      <c r="B6" s="2" t="s">
        <v>11</v>
      </c>
    </row>
    <row r="7" spans="1:2" ht="15.75" customHeight="1" x14ac:dyDescent="0.15">
      <c r="A7" s="2" t="s">
        <v>12</v>
      </c>
      <c r="B7" s="2" t="s">
        <v>13</v>
      </c>
    </row>
    <row r="8" spans="1:2" ht="15.75" customHeight="1" x14ac:dyDescent="0.15">
      <c r="A8" s="2" t="s">
        <v>14</v>
      </c>
      <c r="B8" s="2" t="s">
        <v>15</v>
      </c>
    </row>
    <row r="9" spans="1:2" ht="15.75" customHeight="1" x14ac:dyDescent="0.15">
      <c r="A9" s="2" t="s">
        <v>16</v>
      </c>
      <c r="B9" s="2" t="s">
        <v>17</v>
      </c>
    </row>
    <row r="10" spans="1:2" ht="15.75" customHeight="1" x14ac:dyDescent="0.15">
      <c r="A10" s="2" t="s">
        <v>18</v>
      </c>
      <c r="B10" s="2" t="s">
        <v>19</v>
      </c>
    </row>
    <row r="11" spans="1:2" ht="15.75" customHeight="1" x14ac:dyDescent="0.15">
      <c r="A11" s="2" t="s">
        <v>20</v>
      </c>
      <c r="B11" s="2" t="s">
        <v>21</v>
      </c>
    </row>
    <row r="12" spans="1:2" ht="15.75" customHeight="1" x14ac:dyDescent="0.15">
      <c r="A12" s="3" t="s">
        <v>22</v>
      </c>
      <c r="B12" s="2" t="s">
        <v>23</v>
      </c>
    </row>
    <row r="13" spans="1:2" ht="15.75" customHeight="1" x14ac:dyDescent="0.15">
      <c r="A13" s="3" t="s">
        <v>24</v>
      </c>
      <c r="B13" s="2" t="s">
        <v>25</v>
      </c>
    </row>
    <row r="14" spans="1:2" ht="15.75" customHeight="1" x14ac:dyDescent="0.15">
      <c r="A14" s="2" t="s">
        <v>26</v>
      </c>
      <c r="B14" s="2" t="s">
        <v>27</v>
      </c>
    </row>
    <row r="15" spans="1:2" ht="15.75" customHeight="1" x14ac:dyDescent="0.15">
      <c r="A15" s="2" t="s">
        <v>28</v>
      </c>
      <c r="B15" s="2" t="s">
        <v>29</v>
      </c>
    </row>
    <row r="16" spans="1:2" ht="15.75" customHeight="1" x14ac:dyDescent="0.15">
      <c r="A16" s="2" t="s">
        <v>30</v>
      </c>
      <c r="B16" s="2" t="s">
        <v>31</v>
      </c>
    </row>
    <row r="17" spans="1:2" ht="15.75" customHeight="1" x14ac:dyDescent="0.15">
      <c r="A17" s="2" t="s">
        <v>32</v>
      </c>
      <c r="B17" s="2" t="s">
        <v>33</v>
      </c>
    </row>
    <row r="18" spans="1:2" ht="15.75" customHeight="1" x14ac:dyDescent="0.15">
      <c r="A18" s="2" t="s">
        <v>34</v>
      </c>
      <c r="B18" s="2" t="s">
        <v>35</v>
      </c>
    </row>
    <row r="19" spans="1:2" ht="15.75" customHeight="1" x14ac:dyDescent="0.15">
      <c r="A19" s="2" t="s">
        <v>36</v>
      </c>
      <c r="B19" s="2" t="s">
        <v>37</v>
      </c>
    </row>
    <row r="20" spans="1:2" ht="15.75" customHeight="1" x14ac:dyDescent="0.15">
      <c r="A20" s="2" t="s">
        <v>38</v>
      </c>
      <c r="B20" s="2" t="s">
        <v>39</v>
      </c>
    </row>
    <row r="21" spans="1:2" ht="15.75" customHeight="1" x14ac:dyDescent="0.15">
      <c r="A21" s="2" t="s">
        <v>40</v>
      </c>
      <c r="B21" s="2" t="s">
        <v>41</v>
      </c>
    </row>
    <row r="22" spans="1:2" ht="15.75" customHeight="1" x14ac:dyDescent="0.15">
      <c r="A22" s="2" t="s">
        <v>42</v>
      </c>
      <c r="B22" s="2" t="s">
        <v>43</v>
      </c>
    </row>
    <row r="23" spans="1:2" ht="15.75" customHeight="1" x14ac:dyDescent="0.15">
      <c r="A23" s="2" t="s">
        <v>44</v>
      </c>
      <c r="B23" s="2" t="s">
        <v>45</v>
      </c>
    </row>
    <row r="24" spans="1:2" ht="15.75" customHeight="1" x14ac:dyDescent="0.15">
      <c r="A24" s="2" t="s">
        <v>46</v>
      </c>
      <c r="B24" s="2" t="s">
        <v>47</v>
      </c>
    </row>
    <row r="25" spans="1:2" ht="15.75" customHeight="1" x14ac:dyDescent="0.15">
      <c r="A25" s="2" t="s">
        <v>48</v>
      </c>
      <c r="B25" s="2" t="s">
        <v>49</v>
      </c>
    </row>
    <row r="26" spans="1:2" ht="15.75" customHeight="1" x14ac:dyDescent="0.15">
      <c r="A26" s="2" t="s">
        <v>50</v>
      </c>
      <c r="B26" s="2" t="s">
        <v>51</v>
      </c>
    </row>
    <row r="27" spans="1:2" ht="15.75" customHeight="1" x14ac:dyDescent="0.15">
      <c r="A27" s="2" t="s">
        <v>52</v>
      </c>
      <c r="B27" s="2" t="s">
        <v>53</v>
      </c>
    </row>
    <row r="28" spans="1:2" ht="15.75" customHeight="1" x14ac:dyDescent="0.15">
      <c r="A28" s="2" t="s">
        <v>54</v>
      </c>
      <c r="B28" s="2" t="s">
        <v>55</v>
      </c>
    </row>
    <row r="29" spans="1:2" ht="15.75" customHeight="1" x14ac:dyDescent="0.15">
      <c r="A29" s="2" t="s">
        <v>56</v>
      </c>
      <c r="B29" s="2" t="s">
        <v>57</v>
      </c>
    </row>
    <row r="30" spans="1:2" ht="15.75" customHeight="1" x14ac:dyDescent="0.15">
      <c r="A30" s="2" t="s">
        <v>58</v>
      </c>
      <c r="B30" s="2" t="s">
        <v>59</v>
      </c>
    </row>
    <row r="31" spans="1:2" ht="15.75" customHeight="1" x14ac:dyDescent="0.15">
      <c r="A31" s="2" t="s">
        <v>60</v>
      </c>
      <c r="B31" s="2" t="s">
        <v>61</v>
      </c>
    </row>
    <row r="32" spans="1:2" ht="15.75" customHeight="1" x14ac:dyDescent="0.15">
      <c r="A32" s="2" t="s">
        <v>62</v>
      </c>
      <c r="B32" s="2" t="s">
        <v>63</v>
      </c>
    </row>
    <row r="33" spans="1:2" ht="15.75" customHeight="1" x14ac:dyDescent="0.15">
      <c r="A33" s="2" t="s">
        <v>64</v>
      </c>
      <c r="B33" s="2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"/>
  <sheetViews>
    <sheetView workbookViewId="0"/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66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2</v>
      </c>
      <c r="B2" s="2">
        <v>900</v>
      </c>
      <c r="C2" s="2">
        <v>6.3617251235193307E+19</v>
      </c>
      <c r="D2" s="2">
        <v>6.3617251235193309E-2</v>
      </c>
      <c r="E2" s="4">
        <v>1.9999999999999998</v>
      </c>
      <c r="F2" s="2">
        <v>0.12723450247038659</v>
      </c>
      <c r="G2" s="2">
        <v>254.6479089</v>
      </c>
      <c r="H2" s="2">
        <v>32.399999994015829</v>
      </c>
    </row>
    <row r="3" spans="1:26" ht="15.75" customHeight="1" x14ac:dyDescent="0.15">
      <c r="A3" s="2" t="s">
        <v>4</v>
      </c>
      <c r="B3" s="2">
        <v>4745</v>
      </c>
      <c r="C3" s="2">
        <v>3.3540428567888029E+20</v>
      </c>
      <c r="D3" s="2">
        <v>0.33540428567888031</v>
      </c>
      <c r="E3" s="4">
        <v>2.7</v>
      </c>
      <c r="F3" s="2">
        <v>0.90559157133297685</v>
      </c>
      <c r="G3" s="2">
        <v>10.72688123</v>
      </c>
      <c r="H3" s="2">
        <v>9.7141732285779163</v>
      </c>
    </row>
    <row r="4" spans="1:26" ht="15.75" customHeight="1" x14ac:dyDescent="0.15">
      <c r="A4" s="2" t="s">
        <v>12</v>
      </c>
      <c r="B4" s="2">
        <v>27.5</v>
      </c>
      <c r="C4" s="2">
        <v>1.9438604544086845E+18</v>
      </c>
      <c r="D4" s="2">
        <v>1.9438604544086845E-3</v>
      </c>
      <c r="E4" s="4">
        <v>8.9</v>
      </c>
      <c r="F4" s="2">
        <v>1.7300358044237293E-2</v>
      </c>
      <c r="G4" s="2">
        <v>44.500045125910397</v>
      </c>
      <c r="H4" s="2">
        <v>0.76986671366296644</v>
      </c>
    </row>
    <row r="5" spans="1:26" ht="15.75" customHeight="1" x14ac:dyDescent="0.15">
      <c r="A5" s="2" t="s">
        <v>74</v>
      </c>
      <c r="B5" s="2">
        <v>1230</v>
      </c>
      <c r="C5" s="2">
        <v>8.6943576688097526E+19</v>
      </c>
      <c r="D5" s="2">
        <v>8.6943576688097532E-2</v>
      </c>
      <c r="E5" s="4">
        <v>2.2000000000000002</v>
      </c>
      <c r="F5" s="2">
        <v>0.19127586871381458</v>
      </c>
      <c r="G5" s="2">
        <v>13.98634348</v>
      </c>
      <c r="H5" s="2">
        <v>2.6752499992667964</v>
      </c>
    </row>
    <row r="6" spans="1:26" ht="15.75" customHeight="1" x14ac:dyDescent="0.15">
      <c r="A6" s="2" t="s">
        <v>75</v>
      </c>
      <c r="B6" s="2">
        <v>550</v>
      </c>
      <c r="C6" s="2">
        <v>3.8877209088173695E+19</v>
      </c>
      <c r="D6" s="2">
        <v>3.8877209088173693E-2</v>
      </c>
      <c r="E6" s="4">
        <v>8.9599999999999991</v>
      </c>
      <c r="F6" s="2">
        <v>0.34833979343003624</v>
      </c>
      <c r="G6" s="2">
        <v>6.090112618</v>
      </c>
      <c r="H6" s="2">
        <v>2.1214285713197771</v>
      </c>
    </row>
    <row r="7" spans="1:26" ht="15.75" customHeight="1" x14ac:dyDescent="0.15">
      <c r="A7" s="2" t="s">
        <v>76</v>
      </c>
      <c r="B7" s="2">
        <v>35</v>
      </c>
      <c r="C7" s="2">
        <v>2.4740042147019622E+18</v>
      </c>
      <c r="D7" s="2">
        <v>2.4740042147019621E-3</v>
      </c>
      <c r="E7" s="4">
        <v>2.33</v>
      </c>
      <c r="F7" s="2">
        <v>5.7644298202555715E-3</v>
      </c>
      <c r="G7" s="2">
        <v>4.1309515379999997</v>
      </c>
      <c r="H7" s="2">
        <v>2.3812580231677816E-2</v>
      </c>
    </row>
    <row r="8" spans="1:26" ht="15.75" customHeight="1" x14ac:dyDescent="0.15">
      <c r="A8" s="2" t="s">
        <v>28</v>
      </c>
      <c r="B8" s="2">
        <v>50730</v>
      </c>
      <c r="C8" s="2">
        <v>3.5858923946237294E+21</v>
      </c>
      <c r="D8" s="2">
        <v>3.5858923946237296</v>
      </c>
      <c r="E8" s="4">
        <v>0.96599999999999986</v>
      </c>
      <c r="F8" s="2">
        <v>3.4639720532065224</v>
      </c>
      <c r="G8" s="2">
        <v>4.2</v>
      </c>
      <c r="H8" s="2">
        <v>14.548682623467394</v>
      </c>
    </row>
    <row r="9" spans="1:26" ht="15.75" customHeight="1" x14ac:dyDescent="0.15">
      <c r="A9" s="2" t="s">
        <v>30</v>
      </c>
      <c r="B9" s="2">
        <v>55</v>
      </c>
      <c r="C9" s="2">
        <v>3.8877209088173691E+18</v>
      </c>
      <c r="D9" s="2">
        <v>3.8877209088173689E-3</v>
      </c>
      <c r="E9" s="4">
        <v>2.29</v>
      </c>
      <c r="F9" s="2">
        <v>8.9028808811917742E-3</v>
      </c>
      <c r="G9" s="2">
        <v>308.88877839999998</v>
      </c>
      <c r="H9" s="2">
        <v>2.7499999996320423</v>
      </c>
    </row>
    <row r="10" spans="1:26" ht="15.75" customHeight="1" x14ac:dyDescent="0.15">
      <c r="A10" s="2" t="s">
        <v>32</v>
      </c>
      <c r="B10" s="2">
        <v>120</v>
      </c>
      <c r="C10" s="2">
        <v>8.4823001646924411E+18</v>
      </c>
      <c r="D10" s="2">
        <v>8.4823001646924419E-3</v>
      </c>
      <c r="E10" s="4">
        <v>3.3299999999999996</v>
      </c>
      <c r="F10" s="2">
        <v>2.8246059548425829E-2</v>
      </c>
      <c r="G10" s="2">
        <v>67.974083140000005</v>
      </c>
      <c r="H10" s="2">
        <v>1.9200000001220883</v>
      </c>
    </row>
    <row r="11" spans="1:26" ht="15.75" customHeight="1" x14ac:dyDescent="0.15">
      <c r="A11" s="2" t="s">
        <v>36</v>
      </c>
      <c r="B11" s="2">
        <v>1180</v>
      </c>
      <c r="C11" s="2">
        <v>8.3409284952809013E+19</v>
      </c>
      <c r="D11" s="2">
        <v>8.3409284952809012E-2</v>
      </c>
      <c r="E11" s="4">
        <v>3.17</v>
      </c>
      <c r="F11" s="2">
        <v>0.26440743330040456</v>
      </c>
      <c r="G11" s="2">
        <v>64.572054300000005</v>
      </c>
      <c r="H11" s="2">
        <v>17.073331140397354</v>
      </c>
    </row>
    <row r="12" spans="1:26" ht="15.75" customHeight="1" x14ac:dyDescent="0.15">
      <c r="A12" s="2" t="s">
        <v>38</v>
      </c>
      <c r="B12" s="2">
        <v>10937.6</v>
      </c>
      <c r="C12" s="2">
        <v>7.7313338567783376E+20</v>
      </c>
      <c r="D12" s="2">
        <v>0.77313338567783374</v>
      </c>
      <c r="E12" s="4">
        <v>2.13</v>
      </c>
      <c r="F12" s="2">
        <v>1.6467741114937857</v>
      </c>
      <c r="G12" s="2">
        <v>2.0464638869999998</v>
      </c>
      <c r="H12" s="2">
        <v>3.3700637492185437</v>
      </c>
    </row>
    <row r="13" spans="1:26" ht="15.75" customHeight="1" x14ac:dyDescent="0.15">
      <c r="A13" s="2" t="s">
        <v>40</v>
      </c>
      <c r="B13" s="2">
        <v>882</v>
      </c>
      <c r="C13" s="2">
        <v>6.2344906210489442E+19</v>
      </c>
      <c r="D13" s="2">
        <v>6.2344906210489444E-2</v>
      </c>
      <c r="E13" s="4">
        <v>2</v>
      </c>
      <c r="F13" s="2">
        <v>0.12468981242097889</v>
      </c>
      <c r="G13" s="2">
        <v>88.012999603628515</v>
      </c>
      <c r="H13" s="2">
        <v>10.97432441118413</v>
      </c>
    </row>
    <row r="14" spans="1:26" ht="15.75" customHeight="1" x14ac:dyDescent="0.15">
      <c r="A14" s="2" t="s">
        <v>42</v>
      </c>
      <c r="B14" s="2">
        <v>432.4</v>
      </c>
      <c r="C14" s="2">
        <v>3.0564554926775095E+19</v>
      </c>
      <c r="D14" s="2">
        <v>3.0564554926775095E-2</v>
      </c>
      <c r="E14" s="4">
        <v>2.81</v>
      </c>
      <c r="F14" s="2">
        <v>8.5886399344238015E-2</v>
      </c>
      <c r="G14" s="2">
        <v>37.870563869999998</v>
      </c>
      <c r="H14" s="2">
        <v>3.2525663719302917</v>
      </c>
    </row>
    <row r="15" spans="1:26" ht="15.75" customHeight="1" x14ac:dyDescent="0.15">
      <c r="A15" s="2" t="s">
        <v>46</v>
      </c>
      <c r="B15" s="2">
        <v>30</v>
      </c>
      <c r="C15" s="2">
        <v>2.1205750411731103E+18</v>
      </c>
      <c r="D15" s="2">
        <v>2.1205750411731105E-3</v>
      </c>
      <c r="E15" s="4">
        <v>13.699999999999998</v>
      </c>
      <c r="F15" s="2">
        <v>2.9051878064071609E-2</v>
      </c>
      <c r="G15" s="2">
        <v>25.81588696</v>
      </c>
      <c r="H15" s="2">
        <v>0.75000000007777634</v>
      </c>
    </row>
    <row r="16" spans="1:26" ht="15.75" customHeight="1" x14ac:dyDescent="0.15">
      <c r="A16" s="2" t="s">
        <v>44</v>
      </c>
      <c r="B16" s="2">
        <v>30</v>
      </c>
      <c r="C16" s="2">
        <v>2.1205750411731103E+18</v>
      </c>
      <c r="D16" s="2">
        <v>2.1205750411731105E-3</v>
      </c>
      <c r="E16" s="4">
        <v>16.7</v>
      </c>
      <c r="F16" s="2">
        <v>3.5413603187590945E-2</v>
      </c>
      <c r="G16" s="2">
        <v>170.8356</v>
      </c>
      <c r="H16" s="2">
        <v>6.0499041487140115</v>
      </c>
    </row>
    <row r="17" spans="1:8" ht="15.75" customHeight="1" x14ac:dyDescent="0.15">
      <c r="A17" s="2" t="s">
        <v>48</v>
      </c>
      <c r="B17" s="2">
        <v>300</v>
      </c>
      <c r="C17" s="2">
        <v>2.1205750411731104E+19</v>
      </c>
      <c r="D17" s="2">
        <v>2.1205750411731103E-2</v>
      </c>
      <c r="E17" s="4">
        <v>0.93999999999999984</v>
      </c>
      <c r="F17" s="2">
        <v>1.9933405387027234E-2</v>
      </c>
      <c r="G17" s="2">
        <v>2.8595214360000001</v>
      </c>
      <c r="H17" s="2">
        <v>5.6999999996682253E-2</v>
      </c>
    </row>
    <row r="18" spans="1:8" ht="15.75" customHeight="1" x14ac:dyDescent="0.15">
      <c r="A18" s="2" t="s">
        <v>50</v>
      </c>
      <c r="B18" s="2">
        <v>12.5</v>
      </c>
      <c r="C18" s="2">
        <v>8.8357293382212941E+17</v>
      </c>
      <c r="D18" s="2">
        <v>8.8357293382212944E-4</v>
      </c>
      <c r="E18" s="4">
        <v>4.5</v>
      </c>
      <c r="F18" s="2">
        <v>3.9760782021995827E-3</v>
      </c>
      <c r="G18" s="2">
        <v>47.633353710000002</v>
      </c>
      <c r="H18" s="2">
        <v>0.18939393938399363</v>
      </c>
    </row>
    <row r="19" spans="1:8" ht="15.75" customHeight="1" x14ac:dyDescent="0.15">
      <c r="A19" s="2" t="s">
        <v>52</v>
      </c>
      <c r="B19" s="2">
        <v>90.5</v>
      </c>
      <c r="C19" s="2">
        <v>6.3970680408722166E+18</v>
      </c>
      <c r="D19" s="2">
        <v>6.3970680408722167E-3</v>
      </c>
      <c r="E19" s="4">
        <v>5.2099999999999991</v>
      </c>
      <c r="F19" s="2">
        <v>3.3328724492944245E-2</v>
      </c>
      <c r="G19" s="2">
        <v>43.977832020000001</v>
      </c>
      <c r="H19" s="2">
        <v>1.4657250471915617</v>
      </c>
    </row>
    <row r="20" spans="1:8" ht="15.75" customHeight="1" x14ac:dyDescent="0.15">
      <c r="A20" s="2" t="s">
        <v>56</v>
      </c>
      <c r="B20" s="2">
        <v>362</v>
      </c>
      <c r="C20" s="2">
        <v>2.5588272163488866E+19</v>
      </c>
      <c r="D20" s="2">
        <v>2.5588272163488867E-2</v>
      </c>
      <c r="E20" s="4">
        <v>19.3</v>
      </c>
      <c r="F20" s="2">
        <v>0.49385365275533516</v>
      </c>
      <c r="G20" s="2">
        <v>75.814931139999999</v>
      </c>
      <c r="H20" s="2">
        <v>37.441480676883202</v>
      </c>
    </row>
    <row r="21" spans="1:8" ht="15.75" customHeight="1" x14ac:dyDescent="0.15">
      <c r="A21" s="2" t="s">
        <v>58</v>
      </c>
      <c r="B21" s="2" t="s">
        <v>77</v>
      </c>
      <c r="C21" s="2" t="s">
        <v>77</v>
      </c>
      <c r="D21" s="2" t="s">
        <v>77</v>
      </c>
      <c r="E21" s="4" t="s">
        <v>77</v>
      </c>
      <c r="F21" s="2" t="s">
        <v>77</v>
      </c>
      <c r="G21" s="2">
        <v>365.30540000000002</v>
      </c>
      <c r="H21" s="2">
        <v>25821.917121525319</v>
      </c>
    </row>
    <row r="22" spans="1:8" ht="15.75" customHeight="1" x14ac:dyDescent="0.15">
      <c r="A22" s="2" t="s">
        <v>60</v>
      </c>
      <c r="B22" s="2">
        <v>2.4</v>
      </c>
      <c r="C22" s="2">
        <v>1.6964600329384883E+17</v>
      </c>
      <c r="D22" s="2">
        <v>1.6964600329384883E-4</v>
      </c>
      <c r="E22" s="2">
        <v>4.8149999999999995</v>
      </c>
      <c r="F22" s="2">
        <v>8.1684550585988205E-4</v>
      </c>
      <c r="G22" s="2">
        <v>1065.070666154757</v>
      </c>
      <c r="H22" s="2">
        <v>0.86999818707170395</v>
      </c>
    </row>
    <row r="23" spans="1:8" ht="15.75" customHeight="1" x14ac:dyDescent="0.15">
      <c r="A23" s="2" t="s">
        <v>62</v>
      </c>
      <c r="B23" s="2">
        <v>1.6</v>
      </c>
      <c r="C23" s="2">
        <v>1.1309733552923256E+17</v>
      </c>
      <c r="D23" s="2">
        <v>1.1309733552923256E-4</v>
      </c>
      <c r="E23" s="2">
        <v>6.44</v>
      </c>
      <c r="F23" s="2">
        <v>7.283468408082577E-4</v>
      </c>
      <c r="G23" s="2">
        <v>1008.6373963173792</v>
      </c>
      <c r="H23" s="2">
        <v>0.73463786112882967</v>
      </c>
    </row>
    <row r="24" spans="1:8" ht="15.75" customHeight="1" x14ac:dyDescent="0.15">
      <c r="A24" s="2" t="s">
        <v>64</v>
      </c>
      <c r="B24" s="2">
        <v>1.6</v>
      </c>
      <c r="C24" s="2">
        <v>1.1309733552923256E+17</v>
      </c>
      <c r="D24" s="2">
        <v>1.1309733552923256E-4</v>
      </c>
      <c r="E24" s="2">
        <v>7.6849999999999996</v>
      </c>
      <c r="F24" s="2">
        <v>8.6915302354215217E-4</v>
      </c>
      <c r="G24" s="2">
        <v>1015.9485375966532</v>
      </c>
      <c r="H24" s="2">
        <v>0.883014743215359</v>
      </c>
    </row>
    <row r="26" spans="1:8" ht="15.75" customHeight="1" x14ac:dyDescent="0.15">
      <c r="G26" s="3" t="s">
        <v>78</v>
      </c>
      <c r="H26" s="2">
        <v>150.03465398669141</v>
      </c>
    </row>
    <row r="27" spans="1:8" ht="15.75" customHeight="1" x14ac:dyDescent="0.15">
      <c r="G27" s="3" t="s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7"/>
  <sheetViews>
    <sheetView workbookViewId="0"/>
  </sheetViews>
  <sheetFormatPr baseColWidth="10" defaultColWidth="12.6640625" defaultRowHeight="15.75" customHeight="1" x14ac:dyDescent="0.15"/>
  <sheetData>
    <row r="1" spans="1:8" ht="15.75" customHeight="1" x14ac:dyDescent="0.15">
      <c r="A1" s="5" t="s">
        <v>66</v>
      </c>
      <c r="B1" s="5" t="s">
        <v>67</v>
      </c>
      <c r="C1" s="5" t="s">
        <v>68</v>
      </c>
      <c r="D1" s="5" t="s">
        <v>69</v>
      </c>
      <c r="E1" s="5" t="s">
        <v>70</v>
      </c>
      <c r="F1" s="5" t="s">
        <v>71</v>
      </c>
      <c r="G1" s="5" t="s">
        <v>80</v>
      </c>
      <c r="H1" s="5" t="s">
        <v>73</v>
      </c>
    </row>
    <row r="2" spans="1:8" ht="15.75" customHeight="1" x14ac:dyDescent="0.15">
      <c r="A2" s="3" t="s">
        <v>2</v>
      </c>
      <c r="B2" s="6">
        <v>900</v>
      </c>
      <c r="C2" s="6">
        <f t="shared" ref="C2:C20" si="0">B2*PI()*(150000000)^2</f>
        <v>6.3617251235193307E+19</v>
      </c>
      <c r="D2" s="6">
        <f t="shared" ref="D2:D20" si="1">C2/1E+21</f>
        <v>6.3617251235193309E-2</v>
      </c>
      <c r="E2" s="7">
        <v>1.9999999999999998</v>
      </c>
      <c r="F2" s="6">
        <f t="shared" ref="F2:F20" si="2">D2*E2</f>
        <v>0.12723450247038659</v>
      </c>
      <c r="G2" s="6">
        <v>254.6479089</v>
      </c>
      <c r="H2" s="6">
        <f t="shared" ref="H2:H20" si="3">F2*G2</f>
        <v>32.399999994015829</v>
      </c>
    </row>
    <row r="3" spans="1:8" ht="15.75" customHeight="1" x14ac:dyDescent="0.15">
      <c r="A3" s="3" t="s">
        <v>4</v>
      </c>
      <c r="B3" s="6">
        <v>4745</v>
      </c>
      <c r="C3" s="6">
        <f t="shared" si="0"/>
        <v>3.3540428567888029E+20</v>
      </c>
      <c r="D3" s="6">
        <f t="shared" si="1"/>
        <v>0.33540428567888031</v>
      </c>
      <c r="E3" s="7">
        <v>2.7</v>
      </c>
      <c r="F3" s="6">
        <f t="shared" si="2"/>
        <v>0.90559157133297685</v>
      </c>
      <c r="G3" s="6">
        <v>10.72688123</v>
      </c>
      <c r="H3" s="6">
        <f t="shared" si="3"/>
        <v>9.7141732285779163</v>
      </c>
    </row>
    <row r="4" spans="1:8" ht="15.75" customHeight="1" x14ac:dyDescent="0.15">
      <c r="A4" s="3" t="s">
        <v>12</v>
      </c>
      <c r="B4" s="6">
        <v>27.5</v>
      </c>
      <c r="C4" s="6">
        <f t="shared" si="0"/>
        <v>1.9438604544086845E+18</v>
      </c>
      <c r="D4" s="6">
        <f t="shared" si="1"/>
        <v>1.9438604544086845E-3</v>
      </c>
      <c r="E4" s="7">
        <v>8.9</v>
      </c>
      <c r="F4" s="6">
        <f t="shared" si="2"/>
        <v>1.7300358044237293E-2</v>
      </c>
      <c r="G4" s="6">
        <v>44.500045125910397</v>
      </c>
      <c r="H4" s="6">
        <f t="shared" si="3"/>
        <v>0.76986671366296644</v>
      </c>
    </row>
    <row r="5" spans="1:8" ht="15.75" customHeight="1" x14ac:dyDescent="0.15">
      <c r="A5" s="3" t="s">
        <v>74</v>
      </c>
      <c r="B5" s="6">
        <v>1230</v>
      </c>
      <c r="C5" s="6">
        <f t="shared" si="0"/>
        <v>8.6943576688097526E+19</v>
      </c>
      <c r="D5" s="6">
        <f t="shared" si="1"/>
        <v>8.6943576688097532E-2</v>
      </c>
      <c r="E5" s="7">
        <v>2.2000000000000002</v>
      </c>
      <c r="F5" s="6">
        <f t="shared" si="2"/>
        <v>0.19127586871381458</v>
      </c>
      <c r="G5" s="6">
        <v>13.98634348</v>
      </c>
      <c r="H5" s="6">
        <f t="shared" si="3"/>
        <v>2.6752499992667964</v>
      </c>
    </row>
    <row r="6" spans="1:8" ht="15.75" customHeight="1" x14ac:dyDescent="0.15">
      <c r="A6" s="3" t="s">
        <v>75</v>
      </c>
      <c r="B6" s="6">
        <v>550</v>
      </c>
      <c r="C6" s="6">
        <f t="shared" si="0"/>
        <v>3.8877209088173695E+19</v>
      </c>
      <c r="D6" s="6">
        <f t="shared" si="1"/>
        <v>3.8877209088173693E-2</v>
      </c>
      <c r="E6" s="7">
        <v>8.9599999999999991</v>
      </c>
      <c r="F6" s="6">
        <f t="shared" si="2"/>
        <v>0.34833979343003624</v>
      </c>
      <c r="G6" s="6">
        <v>6.090112618</v>
      </c>
      <c r="H6" s="6">
        <f t="shared" si="3"/>
        <v>2.1214285713197771</v>
      </c>
    </row>
    <row r="7" spans="1:8" ht="15.75" customHeight="1" x14ac:dyDescent="0.15">
      <c r="A7" s="3" t="s">
        <v>76</v>
      </c>
      <c r="B7" s="6">
        <v>35</v>
      </c>
      <c r="C7" s="6">
        <f t="shared" si="0"/>
        <v>2.4740042147019622E+18</v>
      </c>
      <c r="D7" s="6">
        <f t="shared" si="1"/>
        <v>2.4740042147019621E-3</v>
      </c>
      <c r="E7" s="7">
        <v>2.33</v>
      </c>
      <c r="F7" s="6">
        <f t="shared" si="2"/>
        <v>5.7644298202555715E-3</v>
      </c>
      <c r="G7" s="6">
        <v>4.1309515379999997</v>
      </c>
      <c r="H7" s="6">
        <f t="shared" si="3"/>
        <v>2.3812580231677816E-2</v>
      </c>
    </row>
    <row r="8" spans="1:8" ht="15.75" customHeight="1" x14ac:dyDescent="0.15">
      <c r="A8" s="3" t="s">
        <v>28</v>
      </c>
      <c r="B8" s="6">
        <v>50730</v>
      </c>
      <c r="C8" s="6">
        <f t="shared" si="0"/>
        <v>3.5858923946237294E+21</v>
      </c>
      <c r="D8" s="6">
        <f t="shared" si="1"/>
        <v>3.5858923946237296</v>
      </c>
      <c r="E8" s="7">
        <v>0.96599999999999986</v>
      </c>
      <c r="F8" s="6">
        <f t="shared" si="2"/>
        <v>3.4639720532065224</v>
      </c>
      <c r="G8" s="6">
        <v>4.2</v>
      </c>
      <c r="H8" s="6">
        <f t="shared" si="3"/>
        <v>14.548682623467394</v>
      </c>
    </row>
    <row r="9" spans="1:8" ht="15.75" customHeight="1" x14ac:dyDescent="0.15">
      <c r="A9" s="3" t="s">
        <v>30</v>
      </c>
      <c r="B9" s="6">
        <v>55</v>
      </c>
      <c r="C9" s="6">
        <f t="shared" si="0"/>
        <v>3.8877209088173691E+18</v>
      </c>
      <c r="D9" s="6">
        <f t="shared" si="1"/>
        <v>3.8877209088173689E-3</v>
      </c>
      <c r="E9" s="7">
        <v>2.29</v>
      </c>
      <c r="F9" s="6">
        <f t="shared" si="2"/>
        <v>8.9028808811917742E-3</v>
      </c>
      <c r="G9" s="6">
        <v>308.88877839999998</v>
      </c>
      <c r="H9" s="6">
        <f t="shared" si="3"/>
        <v>2.7499999996320423</v>
      </c>
    </row>
    <row r="10" spans="1:8" ht="15.75" customHeight="1" x14ac:dyDescent="0.15">
      <c r="A10" s="3" t="s">
        <v>32</v>
      </c>
      <c r="B10" s="6">
        <v>120</v>
      </c>
      <c r="C10" s="6">
        <f t="shared" si="0"/>
        <v>8.4823001646924411E+18</v>
      </c>
      <c r="D10" s="6">
        <f t="shared" si="1"/>
        <v>8.4823001646924419E-3</v>
      </c>
      <c r="E10" s="7">
        <v>3.3299999999999996</v>
      </c>
      <c r="F10" s="6">
        <f t="shared" si="2"/>
        <v>2.8246059548425829E-2</v>
      </c>
      <c r="G10" s="6">
        <v>67.974083140000005</v>
      </c>
      <c r="H10" s="6">
        <f t="shared" si="3"/>
        <v>1.9200000001220883</v>
      </c>
    </row>
    <row r="11" spans="1:8" ht="15.75" customHeight="1" x14ac:dyDescent="0.15">
      <c r="A11" s="3" t="s">
        <v>36</v>
      </c>
      <c r="B11" s="6">
        <v>1180</v>
      </c>
      <c r="C11" s="6">
        <f t="shared" si="0"/>
        <v>8.3409284952809013E+19</v>
      </c>
      <c r="D11" s="6">
        <f t="shared" si="1"/>
        <v>8.3409284952809012E-2</v>
      </c>
      <c r="E11" s="7">
        <v>3.17</v>
      </c>
      <c r="F11" s="6">
        <f t="shared" si="2"/>
        <v>0.26440743330040456</v>
      </c>
      <c r="G11" s="6">
        <v>64.572054300000005</v>
      </c>
      <c r="H11" s="6">
        <f t="shared" si="3"/>
        <v>17.073331140397354</v>
      </c>
    </row>
    <row r="12" spans="1:8" ht="15.75" customHeight="1" x14ac:dyDescent="0.15">
      <c r="A12" s="3" t="s">
        <v>38</v>
      </c>
      <c r="B12" s="6">
        <v>10937.6</v>
      </c>
      <c r="C12" s="6">
        <f t="shared" si="0"/>
        <v>7.7313338567783376E+20</v>
      </c>
      <c r="D12" s="6">
        <f t="shared" si="1"/>
        <v>0.77313338567783374</v>
      </c>
      <c r="E12" s="7">
        <v>2.13</v>
      </c>
      <c r="F12" s="6">
        <f t="shared" si="2"/>
        <v>1.6467741114937857</v>
      </c>
      <c r="G12" s="6">
        <v>2.0464638869999998</v>
      </c>
      <c r="H12" s="6">
        <f t="shared" si="3"/>
        <v>3.3700637492185437</v>
      </c>
    </row>
    <row r="13" spans="1:8" ht="15.75" customHeight="1" x14ac:dyDescent="0.15">
      <c r="A13" s="3" t="s">
        <v>40</v>
      </c>
      <c r="B13" s="6">
        <v>882</v>
      </c>
      <c r="C13" s="6">
        <f t="shared" si="0"/>
        <v>6.2344906210489442E+19</v>
      </c>
      <c r="D13" s="6">
        <f t="shared" si="1"/>
        <v>6.2344906210489444E-2</v>
      </c>
      <c r="E13" s="7">
        <v>2</v>
      </c>
      <c r="F13" s="6">
        <f t="shared" si="2"/>
        <v>0.12468981242097889</v>
      </c>
      <c r="G13" s="6">
        <v>88.012999603628515</v>
      </c>
      <c r="H13" s="6">
        <f t="shared" si="3"/>
        <v>10.97432441118413</v>
      </c>
    </row>
    <row r="14" spans="1:8" ht="15.75" customHeight="1" x14ac:dyDescent="0.15">
      <c r="A14" s="3" t="s">
        <v>42</v>
      </c>
      <c r="B14" s="6">
        <v>432.4</v>
      </c>
      <c r="C14" s="6">
        <f t="shared" si="0"/>
        <v>3.0564554926775095E+19</v>
      </c>
      <c r="D14" s="6">
        <f t="shared" si="1"/>
        <v>3.0564554926775095E-2</v>
      </c>
      <c r="E14" s="7">
        <v>2.81</v>
      </c>
      <c r="F14" s="6">
        <f t="shared" si="2"/>
        <v>8.5886399344238015E-2</v>
      </c>
      <c r="G14" s="6">
        <v>37.870563869999998</v>
      </c>
      <c r="H14" s="6">
        <f t="shared" si="3"/>
        <v>3.2525663719302917</v>
      </c>
    </row>
    <row r="15" spans="1:8" ht="15.75" customHeight="1" x14ac:dyDescent="0.15">
      <c r="A15" s="3" t="s">
        <v>46</v>
      </c>
      <c r="B15" s="6">
        <v>30</v>
      </c>
      <c r="C15" s="6">
        <f t="shared" si="0"/>
        <v>2.1205750411731103E+18</v>
      </c>
      <c r="D15" s="6">
        <f t="shared" si="1"/>
        <v>2.1205750411731105E-3</v>
      </c>
      <c r="E15" s="7">
        <v>13.699999999999998</v>
      </c>
      <c r="F15" s="6">
        <f t="shared" si="2"/>
        <v>2.9051878064071609E-2</v>
      </c>
      <c r="G15" s="6">
        <v>25.81588696</v>
      </c>
      <c r="H15" s="6">
        <f t="shared" si="3"/>
        <v>0.75000000007777634</v>
      </c>
    </row>
    <row r="16" spans="1:8" ht="15.75" customHeight="1" x14ac:dyDescent="0.15">
      <c r="A16" s="3" t="s">
        <v>44</v>
      </c>
      <c r="B16" s="6">
        <v>30</v>
      </c>
      <c r="C16" s="6">
        <f t="shared" si="0"/>
        <v>2.1205750411731103E+18</v>
      </c>
      <c r="D16" s="6">
        <f t="shared" si="1"/>
        <v>2.1205750411731105E-3</v>
      </c>
      <c r="E16" s="7">
        <v>16.7</v>
      </c>
      <c r="F16" s="6">
        <f t="shared" si="2"/>
        <v>3.5413603187590945E-2</v>
      </c>
      <c r="G16" s="6">
        <v>170.8356</v>
      </c>
      <c r="H16" s="6">
        <f t="shared" si="3"/>
        <v>6.0499041487140115</v>
      </c>
    </row>
    <row r="17" spans="1:8" ht="15.75" customHeight="1" x14ac:dyDescent="0.15">
      <c r="A17" s="3" t="s">
        <v>48</v>
      </c>
      <c r="B17" s="6">
        <v>300</v>
      </c>
      <c r="C17" s="6">
        <f t="shared" si="0"/>
        <v>2.1205750411731104E+19</v>
      </c>
      <c r="D17" s="6">
        <f t="shared" si="1"/>
        <v>2.1205750411731103E-2</v>
      </c>
      <c r="E17" s="7">
        <v>0.93999999999999984</v>
      </c>
      <c r="F17" s="6">
        <f t="shared" si="2"/>
        <v>1.9933405387027234E-2</v>
      </c>
      <c r="G17" s="6">
        <v>2.8595214360000001</v>
      </c>
      <c r="H17" s="6">
        <f t="shared" si="3"/>
        <v>5.6999999996682253E-2</v>
      </c>
    </row>
    <row r="18" spans="1:8" ht="15.75" customHeight="1" x14ac:dyDescent="0.15">
      <c r="A18" s="3" t="s">
        <v>50</v>
      </c>
      <c r="B18" s="6">
        <v>12.5</v>
      </c>
      <c r="C18" s="6">
        <f t="shared" si="0"/>
        <v>8.8357293382212941E+17</v>
      </c>
      <c r="D18" s="6">
        <f t="shared" si="1"/>
        <v>8.8357293382212944E-4</v>
      </c>
      <c r="E18" s="7">
        <v>4.5</v>
      </c>
      <c r="F18" s="6">
        <f t="shared" si="2"/>
        <v>3.9760782021995827E-3</v>
      </c>
      <c r="G18" s="6">
        <v>47.633353710000002</v>
      </c>
      <c r="H18" s="6">
        <f t="shared" si="3"/>
        <v>0.18939393938399363</v>
      </c>
    </row>
    <row r="19" spans="1:8" ht="15.75" customHeight="1" x14ac:dyDescent="0.15">
      <c r="A19" s="3" t="s">
        <v>52</v>
      </c>
      <c r="B19" s="6">
        <v>90.5</v>
      </c>
      <c r="C19" s="6">
        <f t="shared" si="0"/>
        <v>6.3970680408722166E+18</v>
      </c>
      <c r="D19" s="6">
        <f t="shared" si="1"/>
        <v>6.3970680408722167E-3</v>
      </c>
      <c r="E19" s="7">
        <v>5.2099999999999991</v>
      </c>
      <c r="F19" s="6">
        <f t="shared" si="2"/>
        <v>3.3328724492944245E-2</v>
      </c>
      <c r="G19" s="6">
        <v>43.977832020000001</v>
      </c>
      <c r="H19" s="6">
        <f t="shared" si="3"/>
        <v>1.4657250471915617</v>
      </c>
    </row>
    <row r="20" spans="1:8" ht="15.75" customHeight="1" x14ac:dyDescent="0.15">
      <c r="A20" s="3" t="s">
        <v>56</v>
      </c>
      <c r="B20" s="6">
        <v>362</v>
      </c>
      <c r="C20" s="6">
        <f t="shared" si="0"/>
        <v>2.5588272163488866E+19</v>
      </c>
      <c r="D20" s="6">
        <f t="shared" si="1"/>
        <v>2.5588272163488867E-2</v>
      </c>
      <c r="E20" s="7">
        <v>19.3</v>
      </c>
      <c r="F20" s="6">
        <f t="shared" si="2"/>
        <v>0.49385365275533516</v>
      </c>
      <c r="G20" s="6">
        <v>75.814931139999999</v>
      </c>
      <c r="H20" s="6">
        <f t="shared" si="3"/>
        <v>37.441480676883202</v>
      </c>
    </row>
    <row r="21" spans="1:8" ht="15.75" customHeight="1" x14ac:dyDescent="0.15">
      <c r="A21" s="3" t="s">
        <v>58</v>
      </c>
      <c r="B21" s="8" t="s">
        <v>77</v>
      </c>
      <c r="C21" s="8" t="s">
        <v>77</v>
      </c>
      <c r="D21" s="8" t="s">
        <v>77</v>
      </c>
      <c r="E21" s="9" t="s">
        <v>77</v>
      </c>
      <c r="F21" s="8" t="s">
        <v>77</v>
      </c>
      <c r="G21" s="6">
        <v>365.30540000000002</v>
      </c>
      <c r="H21" s="6">
        <f>(G21*PI()*(0.15)^2)*1000</f>
        <v>25821.917121525319</v>
      </c>
    </row>
    <row r="22" spans="1:8" ht="15.75" customHeight="1" x14ac:dyDescent="0.15">
      <c r="A22" s="3" t="s">
        <v>60</v>
      </c>
      <c r="B22" s="6">
        <v>2.4</v>
      </c>
      <c r="C22" s="6">
        <f t="shared" ref="C22:C24" si="4">B22*PI()*(150000000)^2</f>
        <v>1.6964600329384883E+17</v>
      </c>
      <c r="D22" s="6">
        <f t="shared" ref="D22:D24" si="5">C22/1E+21</f>
        <v>1.6964600329384883E-4</v>
      </c>
      <c r="E22" s="6">
        <v>4.8149999999999995</v>
      </c>
      <c r="F22" s="6">
        <f t="shared" ref="F22:F24" si="6">D22*E22</f>
        <v>8.1684550585988205E-4</v>
      </c>
      <c r="G22" s="6">
        <v>1065.070666154757</v>
      </c>
      <c r="H22" s="6">
        <f t="shared" ref="H22:H24" si="7">F22*G22</f>
        <v>0.86999818707170395</v>
      </c>
    </row>
    <row r="23" spans="1:8" ht="15.75" customHeight="1" x14ac:dyDescent="0.15">
      <c r="A23" s="3" t="s">
        <v>62</v>
      </c>
      <c r="B23" s="6">
        <v>1.6</v>
      </c>
      <c r="C23" s="6">
        <f t="shared" si="4"/>
        <v>1.1309733552923256E+17</v>
      </c>
      <c r="D23" s="6">
        <f t="shared" si="5"/>
        <v>1.1309733552923256E-4</v>
      </c>
      <c r="E23" s="6">
        <v>6.44</v>
      </c>
      <c r="F23" s="6">
        <f t="shared" si="6"/>
        <v>7.283468408082577E-4</v>
      </c>
      <c r="G23" s="6">
        <v>1008.6373963173792</v>
      </c>
      <c r="H23" s="6">
        <f t="shared" si="7"/>
        <v>0.73463786112882967</v>
      </c>
    </row>
    <row r="24" spans="1:8" ht="15.75" customHeight="1" x14ac:dyDescent="0.15">
      <c r="A24" s="3" t="s">
        <v>64</v>
      </c>
      <c r="B24" s="6">
        <v>1.6</v>
      </c>
      <c r="C24" s="6">
        <f t="shared" si="4"/>
        <v>1.1309733552923256E+17</v>
      </c>
      <c r="D24" s="6">
        <f t="shared" si="5"/>
        <v>1.1309733552923256E-4</v>
      </c>
      <c r="E24" s="6">
        <v>7.6849999999999996</v>
      </c>
      <c r="F24" s="6">
        <f t="shared" si="6"/>
        <v>8.6915302354215217E-4</v>
      </c>
      <c r="G24" s="6">
        <v>1015.9485375966532</v>
      </c>
      <c r="H24" s="6">
        <f t="shared" si="7"/>
        <v>0.883014743215359</v>
      </c>
    </row>
    <row r="25" spans="1:8" ht="15.75" customHeight="1" x14ac:dyDescent="0.15">
      <c r="A25" s="3"/>
      <c r="B25" s="3"/>
      <c r="C25" s="3"/>
      <c r="D25" s="3"/>
      <c r="E25" s="3"/>
      <c r="F25" s="3"/>
      <c r="G25" s="3"/>
      <c r="H25" s="3"/>
    </row>
    <row r="26" spans="1:8" ht="15.75" customHeight="1" x14ac:dyDescent="0.15">
      <c r="A26" s="3"/>
      <c r="B26" s="3"/>
      <c r="C26" s="3"/>
      <c r="D26" s="3"/>
      <c r="E26" s="3"/>
      <c r="F26" s="3"/>
      <c r="G26" s="3" t="s">
        <v>78</v>
      </c>
      <c r="H26" s="6">
        <f>SUM(H2:H24)-H21</f>
        <v>150.03465398669141</v>
      </c>
    </row>
    <row r="27" spans="1:8" ht="15.75" customHeight="1" x14ac:dyDescent="0.15">
      <c r="G27" s="3" t="s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27"/>
  <sheetViews>
    <sheetView workbookViewId="0"/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66</v>
      </c>
      <c r="B1" s="1" t="s">
        <v>81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80</v>
      </c>
      <c r="H1" s="1" t="s">
        <v>73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2</v>
      </c>
      <c r="B2" s="2">
        <v>900</v>
      </c>
      <c r="C2" s="2">
        <v>6.3617251235193307E+19</v>
      </c>
      <c r="D2" s="2">
        <v>6.3617251235193309E-2</v>
      </c>
      <c r="E2" s="4">
        <v>1.9999999999999998</v>
      </c>
      <c r="F2" s="2">
        <v>0.12723450247038659</v>
      </c>
      <c r="G2" s="2">
        <v>254.6479089</v>
      </c>
      <c r="H2" s="2">
        <v>32.399999994015829</v>
      </c>
    </row>
    <row r="3" spans="1:26" ht="15.75" customHeight="1" x14ac:dyDescent="0.15">
      <c r="A3" s="2" t="s">
        <v>4</v>
      </c>
      <c r="B3" s="2">
        <v>4745</v>
      </c>
      <c r="C3" s="2">
        <v>3.3540428567888029E+20</v>
      </c>
      <c r="D3" s="2">
        <v>0.33540428567888031</v>
      </c>
      <c r="E3" s="4">
        <v>2.7</v>
      </c>
      <c r="F3" s="2">
        <v>0.90559157133297685</v>
      </c>
      <c r="G3" s="2">
        <v>10.72688123</v>
      </c>
      <c r="H3" s="2">
        <v>9.7141732285779163</v>
      </c>
    </row>
    <row r="4" spans="1:26" ht="15.75" customHeight="1" x14ac:dyDescent="0.15">
      <c r="A4" s="2" t="s">
        <v>12</v>
      </c>
      <c r="B4" s="2">
        <v>27.5</v>
      </c>
      <c r="C4" s="2">
        <v>1.9438604544086845E+18</v>
      </c>
      <c r="D4" s="2">
        <v>1.9438604544086845E-3</v>
      </c>
      <c r="E4" s="2">
        <v>8.9</v>
      </c>
      <c r="F4" s="2">
        <v>1.7300358044237293E-2</v>
      </c>
      <c r="G4" s="2">
        <v>44.500045125910397</v>
      </c>
      <c r="H4" s="2">
        <v>0.76986671366296644</v>
      </c>
    </row>
    <row r="5" spans="1:26" ht="15.75" customHeight="1" x14ac:dyDescent="0.15">
      <c r="A5" s="2" t="s">
        <v>74</v>
      </c>
      <c r="B5" s="2">
        <v>990</v>
      </c>
      <c r="C5" s="2">
        <v>6.9978976358712648E+19</v>
      </c>
      <c r="D5" s="2">
        <v>6.9978976358712641E-2</v>
      </c>
      <c r="E5" s="4">
        <v>2.2000000000000002</v>
      </c>
      <c r="F5" s="2">
        <v>0.15395374798916783</v>
      </c>
      <c r="G5" s="2">
        <v>13.98634348</v>
      </c>
      <c r="H5" s="2">
        <v>2.1532499994098608</v>
      </c>
    </row>
    <row r="6" spans="1:26" ht="15.75" customHeight="1" x14ac:dyDescent="0.15">
      <c r="A6" s="2" t="s">
        <v>75</v>
      </c>
      <c r="B6" s="2">
        <v>550</v>
      </c>
      <c r="C6" s="2">
        <v>3.8877209088173695E+19</v>
      </c>
      <c r="D6" s="2">
        <v>3.8877209088173693E-2</v>
      </c>
      <c r="E6" s="4">
        <v>8.9599999999999991</v>
      </c>
      <c r="F6" s="2">
        <v>0.34833979343003624</v>
      </c>
      <c r="G6" s="2">
        <v>6.090112618</v>
      </c>
      <c r="H6" s="2">
        <v>2.1214285713197771</v>
      </c>
    </row>
    <row r="7" spans="1:26" ht="15.75" customHeight="1" x14ac:dyDescent="0.15">
      <c r="A7" s="2" t="s">
        <v>82</v>
      </c>
      <c r="B7" s="2">
        <v>18</v>
      </c>
      <c r="C7" s="2">
        <v>1.2723450247038661E+18</v>
      </c>
      <c r="D7" s="2">
        <v>1.2723450247038662E-3</v>
      </c>
      <c r="E7" s="2">
        <v>9.69</v>
      </c>
      <c r="F7" s="2">
        <v>1.2329023289380462E-2</v>
      </c>
      <c r="G7" s="2">
        <v>24.90282413547882</v>
      </c>
      <c r="H7" s="2">
        <v>0.30702749873766422</v>
      </c>
    </row>
    <row r="8" spans="1:26" ht="15.75" customHeight="1" x14ac:dyDescent="0.15">
      <c r="A8" s="2" t="s">
        <v>76</v>
      </c>
      <c r="B8" s="2">
        <v>35</v>
      </c>
      <c r="C8" s="2">
        <v>2.4740042147019622E+18</v>
      </c>
      <c r="D8" s="2">
        <v>2.4740042147019621E-3</v>
      </c>
      <c r="E8" s="4">
        <v>2.33</v>
      </c>
      <c r="F8" s="2">
        <v>5.7644298202555715E-3</v>
      </c>
      <c r="G8" s="2">
        <v>4.1309515379999997</v>
      </c>
      <c r="H8" s="2">
        <v>2.3812580231677816E-2</v>
      </c>
    </row>
    <row r="9" spans="1:26" ht="15.75" customHeight="1" x14ac:dyDescent="0.15">
      <c r="A9" s="2" t="s">
        <v>28</v>
      </c>
      <c r="B9" s="2">
        <v>52280</v>
      </c>
      <c r="C9" s="2">
        <v>3.6954554384176738E+21</v>
      </c>
      <c r="D9" s="2">
        <v>3.6954554384176737</v>
      </c>
      <c r="E9" s="4">
        <v>0.96599999999999986</v>
      </c>
      <c r="F9" s="2">
        <v>3.5698099535114722</v>
      </c>
      <c r="G9" s="2">
        <v>4.2</v>
      </c>
      <c r="H9" s="2">
        <v>14.993201804748184</v>
      </c>
    </row>
    <row r="10" spans="1:26" ht="15.75" customHeight="1" x14ac:dyDescent="0.15">
      <c r="A10" s="2" t="s">
        <v>30</v>
      </c>
      <c r="B10" s="2">
        <v>55</v>
      </c>
      <c r="C10" s="2">
        <v>3.8877209088173691E+18</v>
      </c>
      <c r="D10" s="2">
        <v>3.8877209088173689E-3</v>
      </c>
      <c r="E10" s="4">
        <v>2.29</v>
      </c>
      <c r="F10" s="2">
        <v>8.9028808811917742E-3</v>
      </c>
      <c r="G10" s="2">
        <v>308.88877839999998</v>
      </c>
      <c r="H10" s="2">
        <v>2.7499999996320423</v>
      </c>
    </row>
    <row r="11" spans="1:26" ht="15.75" customHeight="1" x14ac:dyDescent="0.15">
      <c r="A11" s="2" t="s">
        <v>32</v>
      </c>
      <c r="B11" s="2">
        <v>120</v>
      </c>
      <c r="C11" s="2">
        <v>8.4823001646924411E+18</v>
      </c>
      <c r="D11" s="2">
        <v>8.4823001646924419E-3</v>
      </c>
      <c r="E11" s="4">
        <v>3.3299999999999996</v>
      </c>
      <c r="F11" s="2">
        <v>2.8246059548425829E-2</v>
      </c>
      <c r="G11" s="2">
        <v>67.974083140000005</v>
      </c>
      <c r="H11" s="2">
        <v>1.9200000001220883</v>
      </c>
    </row>
    <row r="12" spans="1:26" ht="15.75" customHeight="1" x14ac:dyDescent="0.15">
      <c r="A12" s="2" t="s">
        <v>36</v>
      </c>
      <c r="B12" s="2">
        <v>1204</v>
      </c>
      <c r="C12" s="2">
        <v>8.5105744985747489E+19</v>
      </c>
      <c r="D12" s="2">
        <v>8.5105744985747495E-2</v>
      </c>
      <c r="E12" s="4">
        <v>3.17</v>
      </c>
      <c r="F12" s="2">
        <v>0.26978521160481955</v>
      </c>
      <c r="G12" s="2">
        <v>64.572054300000005</v>
      </c>
      <c r="H12" s="2">
        <v>17.420585333083398</v>
      </c>
    </row>
    <row r="13" spans="1:26" ht="15.75" customHeight="1" x14ac:dyDescent="0.15">
      <c r="A13" s="2" t="s">
        <v>38</v>
      </c>
      <c r="B13" s="2">
        <v>10929.6</v>
      </c>
      <c r="C13" s="2">
        <v>7.7256789900018752E+20</v>
      </c>
      <c r="D13" s="2">
        <v>0.77256789900018752</v>
      </c>
      <c r="E13" s="4">
        <v>2.13</v>
      </c>
      <c r="F13" s="2">
        <v>1.6455696248703993</v>
      </c>
      <c r="G13" s="2">
        <v>2.0464638869999998</v>
      </c>
      <c r="H13" s="2">
        <v>3.3675988108414088</v>
      </c>
    </row>
    <row r="14" spans="1:26" ht="15.75" customHeight="1" x14ac:dyDescent="0.15">
      <c r="A14" s="2" t="s">
        <v>40</v>
      </c>
      <c r="B14" s="2">
        <v>882</v>
      </c>
      <c r="C14" s="2">
        <v>6.2344906210489442E+19</v>
      </c>
      <c r="D14" s="2">
        <v>6.2344906210489444E-2</v>
      </c>
      <c r="E14" s="2">
        <v>2</v>
      </c>
      <c r="F14" s="2">
        <v>0.12468981242097889</v>
      </c>
      <c r="G14" s="2">
        <v>88.012999603628515</v>
      </c>
      <c r="H14" s="2">
        <v>10.97432441118413</v>
      </c>
    </row>
    <row r="15" spans="1:26" ht="15.75" customHeight="1" x14ac:dyDescent="0.15">
      <c r="A15" s="2" t="s">
        <v>42</v>
      </c>
      <c r="B15" s="2">
        <v>402.4</v>
      </c>
      <c r="C15" s="2">
        <v>2.8443979885601985E+19</v>
      </c>
      <c r="D15" s="2">
        <v>2.8443979885601985E-2</v>
      </c>
      <c r="E15" s="4">
        <v>2.81</v>
      </c>
      <c r="F15" s="2">
        <v>7.9927583478541578E-2</v>
      </c>
      <c r="G15" s="2">
        <v>37.870563869999998</v>
      </c>
      <c r="H15" s="2">
        <v>3.0269026550988656</v>
      </c>
    </row>
    <row r="16" spans="1:26" ht="15.75" customHeight="1" x14ac:dyDescent="0.15">
      <c r="A16" s="2" t="s">
        <v>44</v>
      </c>
      <c r="B16" s="2">
        <v>22.5</v>
      </c>
      <c r="C16" s="2">
        <v>1.5904312808798328E+18</v>
      </c>
      <c r="D16" s="2">
        <v>1.5904312808798329E-3</v>
      </c>
      <c r="E16" s="2">
        <v>16.7</v>
      </c>
      <c r="F16" s="2">
        <v>2.6560202390693208E-2</v>
      </c>
      <c r="G16" s="2">
        <v>170.8356</v>
      </c>
      <c r="H16" s="2">
        <v>4.5374281115355091</v>
      </c>
    </row>
    <row r="17" spans="1:8" ht="15.75" customHeight="1" x14ac:dyDescent="0.15">
      <c r="A17" s="2" t="s">
        <v>46</v>
      </c>
      <c r="B17" s="2">
        <v>22.5</v>
      </c>
      <c r="C17" s="2">
        <v>1.5904312808798328E+18</v>
      </c>
      <c r="D17" s="2">
        <v>1.5904312808798329E-3</v>
      </c>
      <c r="E17" s="4">
        <v>13.699999999999998</v>
      </c>
      <c r="F17" s="2">
        <v>2.1788908548053706E-2</v>
      </c>
      <c r="G17" s="2">
        <v>25.81588696</v>
      </c>
      <c r="H17" s="2">
        <v>0.56250000005833223</v>
      </c>
    </row>
    <row r="18" spans="1:8" ht="15.75" customHeight="1" x14ac:dyDescent="0.15">
      <c r="A18" s="2" t="s">
        <v>48</v>
      </c>
      <c r="B18" s="2">
        <v>300</v>
      </c>
      <c r="C18" s="2">
        <v>2.1205750411731104E+19</v>
      </c>
      <c r="D18" s="2">
        <v>2.1205750411731103E-2</v>
      </c>
      <c r="E18" s="4">
        <v>0.93999999999999984</v>
      </c>
      <c r="F18" s="2">
        <v>1.9933405387027234E-2</v>
      </c>
      <c r="G18" s="2">
        <v>2.8595214360000001</v>
      </c>
      <c r="H18" s="2">
        <v>5.6999999996682253E-2</v>
      </c>
    </row>
    <row r="19" spans="1:8" ht="15.75" customHeight="1" x14ac:dyDescent="0.15">
      <c r="A19" s="2" t="s">
        <v>50</v>
      </c>
      <c r="B19" s="2">
        <v>12.5</v>
      </c>
      <c r="C19" s="2">
        <v>8.8357293382212941E+17</v>
      </c>
      <c r="D19" s="2">
        <v>8.8357293382212944E-4</v>
      </c>
      <c r="E19" s="4">
        <v>4.5</v>
      </c>
      <c r="F19" s="2">
        <v>3.9760782021995827E-3</v>
      </c>
      <c r="G19" s="2">
        <v>47.633353710000002</v>
      </c>
      <c r="H19" s="2">
        <v>0.18939393938399363</v>
      </c>
    </row>
    <row r="20" spans="1:8" ht="15.75" customHeight="1" x14ac:dyDescent="0.15">
      <c r="A20" s="2" t="s">
        <v>52</v>
      </c>
      <c r="B20" s="2">
        <v>90.5</v>
      </c>
      <c r="C20" s="2">
        <v>6.3970680408722166E+18</v>
      </c>
      <c r="D20" s="2">
        <v>6.3970680408722167E-3</v>
      </c>
      <c r="E20" s="4">
        <v>5.2099999999999991</v>
      </c>
      <c r="F20" s="2">
        <v>3.3328724492944245E-2</v>
      </c>
      <c r="G20" s="2">
        <v>43.977832020000001</v>
      </c>
      <c r="H20" s="2">
        <v>1.4657250471915617</v>
      </c>
    </row>
    <row r="21" spans="1:8" ht="15.75" customHeight="1" x14ac:dyDescent="0.15">
      <c r="A21" s="2" t="s">
        <v>56</v>
      </c>
      <c r="B21" s="2">
        <v>362</v>
      </c>
      <c r="C21" s="2">
        <v>2.5588272163488866E+19</v>
      </c>
      <c r="D21" s="2">
        <v>2.5588272163488867E-2</v>
      </c>
      <c r="E21" s="4">
        <v>19.3</v>
      </c>
      <c r="F21" s="2">
        <v>0.49385365275533516</v>
      </c>
      <c r="G21" s="2">
        <v>75.814931139999999</v>
      </c>
      <c r="H21" s="2">
        <v>37.441480676883202</v>
      </c>
    </row>
    <row r="22" spans="1:8" ht="15.75" customHeight="1" x14ac:dyDescent="0.15">
      <c r="A22" s="2" t="s">
        <v>60</v>
      </c>
      <c r="B22" s="2">
        <v>2.4</v>
      </c>
      <c r="C22" s="2">
        <v>1.6964600329384883E+17</v>
      </c>
      <c r="D22" s="2">
        <v>1.6964600329384883E-4</v>
      </c>
      <c r="E22" s="2">
        <v>4.8149999999999995</v>
      </c>
      <c r="F22" s="2">
        <v>8.1684550585988205E-4</v>
      </c>
      <c r="G22" s="2">
        <v>1065.070666154757</v>
      </c>
      <c r="H22" s="2">
        <v>0.86999818707170395</v>
      </c>
    </row>
    <row r="23" spans="1:8" ht="15.75" customHeight="1" x14ac:dyDescent="0.15">
      <c r="A23" s="2" t="s">
        <v>62</v>
      </c>
      <c r="B23" s="2">
        <v>1.6</v>
      </c>
      <c r="C23" s="2">
        <v>1.1309733552923256E+17</v>
      </c>
      <c r="D23" s="2">
        <v>1.1309733552923256E-4</v>
      </c>
      <c r="E23" s="2">
        <v>6.44</v>
      </c>
      <c r="F23" s="2">
        <v>7.283468408082577E-4</v>
      </c>
      <c r="G23" s="2">
        <v>1008.6373963173792</v>
      </c>
      <c r="H23" s="2">
        <v>0.73463786112882967</v>
      </c>
    </row>
    <row r="24" spans="1:8" ht="15.75" customHeight="1" x14ac:dyDescent="0.15">
      <c r="A24" s="2" t="s">
        <v>64</v>
      </c>
      <c r="B24" s="2">
        <v>1.6</v>
      </c>
      <c r="C24" s="2">
        <v>1.1309733552923256E+17</v>
      </c>
      <c r="D24" s="2">
        <v>1.1309733552923256E-4</v>
      </c>
      <c r="E24" s="2">
        <v>7.6849999999999996</v>
      </c>
      <c r="F24" s="2">
        <v>8.6915302354215217E-4</v>
      </c>
      <c r="G24" s="2">
        <v>1015.9485375966532</v>
      </c>
      <c r="H24" s="2">
        <v>0.883014743215359</v>
      </c>
    </row>
    <row r="26" spans="1:8" ht="15.75" customHeight="1" x14ac:dyDescent="0.15">
      <c r="G26" s="3" t="s">
        <v>78</v>
      </c>
      <c r="H26" s="2">
        <v>148.68335016713095</v>
      </c>
    </row>
    <row r="27" spans="1:8" ht="15.75" customHeight="1" x14ac:dyDescent="0.15">
      <c r="G27" s="3" t="s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80"/>
  <sheetViews>
    <sheetView workbookViewId="0"/>
  </sheetViews>
  <sheetFormatPr baseColWidth="10" defaultColWidth="12.6640625" defaultRowHeight="15.75" customHeight="1" x14ac:dyDescent="0.15"/>
  <sheetData>
    <row r="1" spans="1:26" ht="15.75" customHeight="1" x14ac:dyDescent="0.15">
      <c r="A1" s="5" t="s">
        <v>58</v>
      </c>
      <c r="B1" s="5" t="s">
        <v>66</v>
      </c>
      <c r="C1" s="5" t="s">
        <v>81</v>
      </c>
      <c r="D1" s="5" t="s">
        <v>68</v>
      </c>
      <c r="E1" s="5" t="s">
        <v>69</v>
      </c>
      <c r="F1" s="5" t="s">
        <v>70</v>
      </c>
      <c r="G1" s="5" t="s">
        <v>71</v>
      </c>
      <c r="H1" s="5" t="s">
        <v>80</v>
      </c>
      <c r="I1" s="5" t="s">
        <v>73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83</v>
      </c>
      <c r="B2" s="3" t="s">
        <v>2</v>
      </c>
      <c r="C2" s="6">
        <v>600</v>
      </c>
      <c r="D2" s="6">
        <v>4.2411500823462207E+19</v>
      </c>
      <c r="E2" s="6">
        <v>4.2411500823462206E-2</v>
      </c>
      <c r="F2" s="7">
        <v>1.9999999999999998</v>
      </c>
      <c r="G2" s="6">
        <v>8.4823001646924398E-2</v>
      </c>
      <c r="H2" s="6">
        <v>254.6479089</v>
      </c>
      <c r="I2" s="6">
        <v>21.599999996010556</v>
      </c>
    </row>
    <row r="3" spans="1:26" ht="15.75" customHeight="1" x14ac:dyDescent="0.15">
      <c r="A3" s="3" t="s">
        <v>83</v>
      </c>
      <c r="B3" s="3" t="s">
        <v>4</v>
      </c>
      <c r="C3" s="6">
        <v>4745</v>
      </c>
      <c r="D3" s="6">
        <v>3.3540428567888029E+20</v>
      </c>
      <c r="E3" s="6">
        <v>0.33540428567888031</v>
      </c>
      <c r="F3" s="7">
        <v>2.7</v>
      </c>
      <c r="G3" s="6">
        <v>0.90559157133297685</v>
      </c>
      <c r="H3" s="6">
        <v>10.72688123</v>
      </c>
      <c r="I3" s="6">
        <v>9.7141732285779163</v>
      </c>
    </row>
    <row r="4" spans="1:26" ht="15.75" customHeight="1" x14ac:dyDescent="0.15">
      <c r="A4" s="3" t="s">
        <v>83</v>
      </c>
      <c r="B4" s="3" t="s">
        <v>6</v>
      </c>
      <c r="C4" s="6">
        <v>0</v>
      </c>
      <c r="D4" s="6">
        <v>0</v>
      </c>
      <c r="E4" s="6">
        <v>0</v>
      </c>
      <c r="F4" s="6">
        <v>2.78</v>
      </c>
      <c r="G4" s="6">
        <v>0</v>
      </c>
      <c r="H4" s="6">
        <v>8.4084969239999996</v>
      </c>
      <c r="I4" s="6">
        <v>0</v>
      </c>
    </row>
    <row r="5" spans="1:26" ht="15.75" customHeight="1" x14ac:dyDescent="0.15">
      <c r="A5" s="3" t="s">
        <v>83</v>
      </c>
      <c r="B5" s="3" t="s">
        <v>12</v>
      </c>
      <c r="C5" s="6">
        <v>27.5</v>
      </c>
      <c r="D5" s="6">
        <v>1.9438604544086845E+18</v>
      </c>
      <c r="E5" s="6">
        <v>1.9438604544086845E-3</v>
      </c>
      <c r="F5" s="7">
        <v>8.9</v>
      </c>
      <c r="G5" s="6">
        <v>1.7300358044237293E-2</v>
      </c>
      <c r="H5" s="6">
        <v>44.500045125910397</v>
      </c>
      <c r="I5" s="6">
        <v>0.76986671366296644</v>
      </c>
    </row>
    <row r="6" spans="1:26" ht="15.75" customHeight="1" x14ac:dyDescent="0.15">
      <c r="A6" s="3" t="s">
        <v>83</v>
      </c>
      <c r="B6" s="3" t="s">
        <v>74</v>
      </c>
      <c r="C6" s="6">
        <v>1140</v>
      </c>
      <c r="D6" s="6">
        <v>8.0581851564578193E+19</v>
      </c>
      <c r="E6" s="6">
        <v>8.05818515645782E-2</v>
      </c>
      <c r="F6" s="7">
        <v>2.2000000000000002</v>
      </c>
      <c r="G6" s="6">
        <v>0.17728007344207206</v>
      </c>
      <c r="H6" s="6">
        <v>13.98634348</v>
      </c>
      <c r="I6" s="6">
        <v>2.4794999993204456</v>
      </c>
    </row>
    <row r="7" spans="1:26" ht="15.75" customHeight="1" x14ac:dyDescent="0.15">
      <c r="A7" s="3" t="s">
        <v>83</v>
      </c>
      <c r="B7" s="3" t="s">
        <v>75</v>
      </c>
      <c r="C7" s="6">
        <v>550</v>
      </c>
      <c r="D7" s="6">
        <v>3.8877209088173695E+19</v>
      </c>
      <c r="E7" s="6">
        <v>3.8877209088173693E-2</v>
      </c>
      <c r="F7" s="7">
        <v>8.9599999999999991</v>
      </c>
      <c r="G7" s="6">
        <v>0.34833979343003624</v>
      </c>
      <c r="H7" s="6">
        <v>6.090112618</v>
      </c>
      <c r="I7" s="6">
        <v>2.1214285713197771</v>
      </c>
    </row>
    <row r="8" spans="1:26" ht="15.75" customHeight="1" x14ac:dyDescent="0.15">
      <c r="A8" s="3" t="s">
        <v>83</v>
      </c>
      <c r="B8" s="3" t="s">
        <v>82</v>
      </c>
      <c r="C8" s="6">
        <v>18</v>
      </c>
      <c r="D8" s="6">
        <v>1.2723450247038661E+18</v>
      </c>
      <c r="E8" s="6">
        <v>1.2723450247038662E-3</v>
      </c>
      <c r="F8" s="6">
        <v>9.69</v>
      </c>
      <c r="G8" s="6">
        <v>1.2329023289380462E-2</v>
      </c>
      <c r="H8" s="6">
        <v>24.90282413547882</v>
      </c>
      <c r="I8" s="6">
        <v>0.30702749873766422</v>
      </c>
    </row>
    <row r="9" spans="1:26" ht="15.75" customHeight="1" x14ac:dyDescent="0.15">
      <c r="A9" s="3" t="s">
        <v>83</v>
      </c>
      <c r="B9" s="3" t="s">
        <v>22</v>
      </c>
      <c r="C9" s="6">
        <v>0</v>
      </c>
      <c r="D9" s="6">
        <v>0</v>
      </c>
      <c r="E9" s="6">
        <v>0</v>
      </c>
      <c r="F9" s="6">
        <v>18.63</v>
      </c>
      <c r="G9" s="6">
        <v>0</v>
      </c>
      <c r="H9" s="6">
        <v>19053.34</v>
      </c>
      <c r="I9" s="6">
        <v>0</v>
      </c>
    </row>
    <row r="10" spans="1:26" ht="15.75" customHeight="1" x14ac:dyDescent="0.15">
      <c r="A10" s="3" t="s">
        <v>83</v>
      </c>
      <c r="B10" s="3" t="s">
        <v>84</v>
      </c>
      <c r="C10" s="6">
        <v>0</v>
      </c>
      <c r="D10" s="6">
        <v>0</v>
      </c>
      <c r="E10" s="6">
        <v>0</v>
      </c>
      <c r="F10" s="7">
        <v>2.33</v>
      </c>
      <c r="G10" s="6">
        <v>0</v>
      </c>
      <c r="H10" s="6">
        <v>4.1309515379999997</v>
      </c>
      <c r="I10" s="6">
        <v>0</v>
      </c>
    </row>
    <row r="11" spans="1:26" ht="15.75" customHeight="1" x14ac:dyDescent="0.15">
      <c r="A11" s="3" t="s">
        <v>83</v>
      </c>
      <c r="B11" s="3" t="s">
        <v>28</v>
      </c>
      <c r="C11" s="6">
        <v>36130</v>
      </c>
      <c r="D11" s="6">
        <v>2.5538792079194823E+21</v>
      </c>
      <c r="E11" s="6">
        <v>2.5538792079194823</v>
      </c>
      <c r="F11" s="7">
        <v>0.96599999999999986</v>
      </c>
      <c r="G11" s="6">
        <v>2.4670473148502197</v>
      </c>
      <c r="H11" s="6">
        <v>4.2</v>
      </c>
      <c r="I11" s="6">
        <v>10.361598722370923</v>
      </c>
    </row>
    <row r="12" spans="1:26" ht="15.75" customHeight="1" x14ac:dyDescent="0.15">
      <c r="A12" s="3" t="s">
        <v>83</v>
      </c>
      <c r="B12" s="3" t="s">
        <v>30</v>
      </c>
      <c r="C12" s="6">
        <v>55</v>
      </c>
      <c r="D12" s="6">
        <v>3.8877209088173691E+18</v>
      </c>
      <c r="E12" s="6">
        <v>3.8877209088173689E-3</v>
      </c>
      <c r="F12" s="7">
        <v>2.29</v>
      </c>
      <c r="G12" s="6">
        <v>8.9028808811917742E-3</v>
      </c>
      <c r="H12" s="6">
        <v>308.88877839999998</v>
      </c>
      <c r="I12" s="6">
        <v>2.7499999996320423</v>
      </c>
    </row>
    <row r="13" spans="1:26" ht="15.75" customHeight="1" x14ac:dyDescent="0.15">
      <c r="A13" s="3" t="s">
        <v>83</v>
      </c>
      <c r="B13" s="3" t="s">
        <v>32</v>
      </c>
      <c r="C13" s="6">
        <v>120</v>
      </c>
      <c r="D13" s="6">
        <v>8.4823001646924411E+18</v>
      </c>
      <c r="E13" s="6">
        <v>8.4823001646924419E-3</v>
      </c>
      <c r="F13" s="7">
        <v>3.3299999999999996</v>
      </c>
      <c r="G13" s="6">
        <v>2.8246059548425829E-2</v>
      </c>
      <c r="H13" s="6">
        <v>67.974083140000005</v>
      </c>
      <c r="I13" s="6">
        <v>1.9200000001220883</v>
      </c>
    </row>
    <row r="14" spans="1:26" ht="15.75" customHeight="1" x14ac:dyDescent="0.15">
      <c r="A14" s="3" t="s">
        <v>83</v>
      </c>
      <c r="B14" s="3" t="s">
        <v>36</v>
      </c>
      <c r="C14" s="6">
        <v>1154</v>
      </c>
      <c r="D14" s="6">
        <v>8.1571453250458976E+19</v>
      </c>
      <c r="E14" s="6">
        <v>8.1571453250458975E-2</v>
      </c>
      <c r="F14" s="7">
        <v>3.17</v>
      </c>
      <c r="G14" s="6">
        <v>0.25858150680395492</v>
      </c>
      <c r="H14" s="6">
        <v>64.572054300000005</v>
      </c>
      <c r="I14" s="6">
        <v>16.697139098320797</v>
      </c>
    </row>
    <row r="15" spans="1:26" ht="15.75" customHeight="1" x14ac:dyDescent="0.15">
      <c r="A15" s="3" t="s">
        <v>83</v>
      </c>
      <c r="B15" s="3" t="s">
        <v>38</v>
      </c>
      <c r="C15" s="6">
        <v>10902</v>
      </c>
      <c r="D15" s="6">
        <v>7.7061696996230824E+20</v>
      </c>
      <c r="E15" s="6">
        <v>0.77061696996230822</v>
      </c>
      <c r="F15" s="7">
        <v>2.13</v>
      </c>
      <c r="G15" s="6">
        <v>1.6414141460197165</v>
      </c>
      <c r="H15" s="6">
        <v>2.0464638869999998</v>
      </c>
      <c r="I15" s="6">
        <v>3.3590947734402943</v>
      </c>
    </row>
    <row r="16" spans="1:26" ht="15.75" customHeight="1" x14ac:dyDescent="0.15">
      <c r="A16" s="3" t="s">
        <v>83</v>
      </c>
      <c r="B16" s="3" t="s">
        <v>40</v>
      </c>
      <c r="C16" s="6">
        <v>882</v>
      </c>
      <c r="D16" s="6">
        <v>6.2344906210489442E+19</v>
      </c>
      <c r="E16" s="6">
        <v>6.2344906210489444E-2</v>
      </c>
      <c r="F16" s="6">
        <v>2</v>
      </c>
      <c r="G16" s="6">
        <v>0.12468981242097889</v>
      </c>
      <c r="H16" s="6">
        <v>88.012999603628515</v>
      </c>
      <c r="I16" s="6">
        <v>10.97432441118413</v>
      </c>
    </row>
    <row r="17" spans="1:9" ht="15.75" customHeight="1" x14ac:dyDescent="0.15">
      <c r="A17" s="3" t="s">
        <v>83</v>
      </c>
      <c r="B17" s="3" t="s">
        <v>42</v>
      </c>
      <c r="C17" s="6">
        <v>352.4</v>
      </c>
      <c r="D17" s="6">
        <v>2.4909688150313468E+19</v>
      </c>
      <c r="E17" s="6">
        <v>2.4909688150313469E-2</v>
      </c>
      <c r="F17" s="7">
        <v>2.81</v>
      </c>
      <c r="G17" s="6">
        <v>6.9996223702380844E-2</v>
      </c>
      <c r="H17" s="6">
        <v>37.870563869999998</v>
      </c>
      <c r="I17" s="6">
        <v>2.6507964603798215</v>
      </c>
    </row>
    <row r="18" spans="1:9" ht="15.75" customHeight="1" x14ac:dyDescent="0.15">
      <c r="A18" s="3" t="s">
        <v>83</v>
      </c>
      <c r="B18" s="3" t="s">
        <v>44</v>
      </c>
      <c r="C18" s="6">
        <v>22.5</v>
      </c>
      <c r="D18" s="6">
        <v>1.5904312808798328E+18</v>
      </c>
      <c r="E18" s="6">
        <v>1.5904312808798329E-3</v>
      </c>
      <c r="F18" s="6">
        <v>16.7</v>
      </c>
      <c r="G18" s="6">
        <v>2.6560202390693208E-2</v>
      </c>
      <c r="H18" s="6">
        <v>170.8356</v>
      </c>
      <c r="I18" s="6">
        <v>4.5374281115355091</v>
      </c>
    </row>
    <row r="19" spans="1:9" ht="15.75" customHeight="1" x14ac:dyDescent="0.15">
      <c r="A19" s="3" t="s">
        <v>83</v>
      </c>
      <c r="B19" s="3" t="s">
        <v>46</v>
      </c>
      <c r="C19" s="6">
        <v>22.5</v>
      </c>
      <c r="D19" s="6">
        <v>1.5904312808798328E+18</v>
      </c>
      <c r="E19" s="6">
        <v>1.5904312808798329E-3</v>
      </c>
      <c r="F19" s="7">
        <v>13.699999999999998</v>
      </c>
      <c r="G19" s="6">
        <v>2.1788908548053706E-2</v>
      </c>
      <c r="H19" s="6">
        <v>25.81588696</v>
      </c>
      <c r="I19" s="6">
        <v>0.56250000005833223</v>
      </c>
    </row>
    <row r="20" spans="1:9" ht="15.75" customHeight="1" x14ac:dyDescent="0.15">
      <c r="A20" s="3" t="s">
        <v>83</v>
      </c>
      <c r="B20" s="3" t="s">
        <v>48</v>
      </c>
      <c r="C20" s="6">
        <v>300</v>
      </c>
      <c r="D20" s="6">
        <v>2.1205750411731104E+19</v>
      </c>
      <c r="E20" s="6">
        <v>2.1205750411731103E-2</v>
      </c>
      <c r="F20" s="7">
        <v>0.93999999999999984</v>
      </c>
      <c r="G20" s="6">
        <v>1.9933405387027234E-2</v>
      </c>
      <c r="H20" s="6">
        <v>2.8595214360000001</v>
      </c>
      <c r="I20" s="6">
        <v>5.6999999996682253E-2</v>
      </c>
    </row>
    <row r="21" spans="1:9" ht="15.75" customHeight="1" x14ac:dyDescent="0.15">
      <c r="A21" s="3" t="s">
        <v>83</v>
      </c>
      <c r="B21" s="3" t="s">
        <v>50</v>
      </c>
      <c r="C21" s="6">
        <v>12.5</v>
      </c>
      <c r="D21" s="6">
        <v>8.8357293382212941E+17</v>
      </c>
      <c r="E21" s="6">
        <v>8.8357293382212944E-4</v>
      </c>
      <c r="F21" s="7">
        <v>4.5</v>
      </c>
      <c r="G21" s="6">
        <v>3.9760782021995827E-3</v>
      </c>
      <c r="H21" s="6">
        <v>47.633353710000002</v>
      </c>
      <c r="I21" s="6">
        <v>0.18939393938399363</v>
      </c>
    </row>
    <row r="22" spans="1:9" ht="15.75" customHeight="1" x14ac:dyDescent="0.15">
      <c r="A22" s="3" t="s">
        <v>83</v>
      </c>
      <c r="B22" s="3" t="s">
        <v>52</v>
      </c>
      <c r="C22" s="6">
        <v>94</v>
      </c>
      <c r="D22" s="6">
        <v>6.6444684623424133E+18</v>
      </c>
      <c r="E22" s="6">
        <v>6.6444684623424132E-3</v>
      </c>
      <c r="F22" s="7">
        <v>5.2099999999999991</v>
      </c>
      <c r="G22" s="6">
        <v>3.461768068880397E-2</v>
      </c>
      <c r="H22" s="6">
        <v>43.977832020000001</v>
      </c>
      <c r="I22" s="6">
        <v>1.522410546254219</v>
      </c>
    </row>
    <row r="23" spans="1:9" ht="15.75" customHeight="1" x14ac:dyDescent="0.15">
      <c r="A23" s="3" t="s">
        <v>83</v>
      </c>
      <c r="B23" s="3" t="s">
        <v>56</v>
      </c>
      <c r="C23" s="6">
        <v>358</v>
      </c>
      <c r="D23" s="6">
        <v>2.5305528824665784E+19</v>
      </c>
      <c r="E23" s="6">
        <v>2.5305528824665784E-2</v>
      </c>
      <c r="F23" s="7">
        <v>19.3</v>
      </c>
      <c r="G23" s="6">
        <v>0.48839670631604964</v>
      </c>
      <c r="H23" s="6">
        <v>75.814931139999999</v>
      </c>
      <c r="I23" s="6">
        <v>37.027762658354106</v>
      </c>
    </row>
    <row r="24" spans="1:9" ht="15.75" customHeight="1" x14ac:dyDescent="0.15">
      <c r="A24" s="3" t="s">
        <v>83</v>
      </c>
      <c r="B24" s="3" t="s">
        <v>60</v>
      </c>
      <c r="C24" s="6">
        <v>2.4</v>
      </c>
      <c r="D24" s="6">
        <v>1.6964600329384883E+17</v>
      </c>
      <c r="E24" s="6">
        <v>1.6964600329384883E-4</v>
      </c>
      <c r="F24" s="6">
        <v>4.8149999999999995</v>
      </c>
      <c r="G24" s="6">
        <v>8.1684550585988205E-4</v>
      </c>
      <c r="H24" s="6">
        <v>1065.070666154757</v>
      </c>
      <c r="I24" s="6">
        <v>0.86999818707170395</v>
      </c>
    </row>
    <row r="25" spans="1:9" ht="15.75" customHeight="1" x14ac:dyDescent="0.15">
      <c r="A25" s="3" t="s">
        <v>83</v>
      </c>
      <c r="B25" s="3" t="s">
        <v>62</v>
      </c>
      <c r="C25" s="6">
        <v>1.6</v>
      </c>
      <c r="D25" s="6">
        <v>1.1309733552923256E+17</v>
      </c>
      <c r="E25" s="6">
        <v>1.1309733552923256E-4</v>
      </c>
      <c r="F25" s="6">
        <v>6.44</v>
      </c>
      <c r="G25" s="6">
        <v>7.283468408082577E-4</v>
      </c>
      <c r="H25" s="6">
        <v>1008.6373963173792</v>
      </c>
      <c r="I25" s="6">
        <v>0.73463786112882967</v>
      </c>
    </row>
    <row r="26" spans="1:9" ht="15.75" customHeight="1" x14ac:dyDescent="0.15">
      <c r="A26" s="3" t="s">
        <v>83</v>
      </c>
      <c r="B26" s="3" t="s">
        <v>64</v>
      </c>
      <c r="C26" s="6">
        <v>1.6</v>
      </c>
      <c r="D26" s="6">
        <v>1.1309733552923256E+17</v>
      </c>
      <c r="E26" s="6">
        <v>1.1309733552923256E-4</v>
      </c>
      <c r="F26" s="6">
        <v>7.6849999999999996</v>
      </c>
      <c r="G26" s="6">
        <v>8.6915302354215217E-4</v>
      </c>
      <c r="H26" s="6">
        <v>1015.9485375966532</v>
      </c>
      <c r="I26" s="6">
        <v>0.883014743215359</v>
      </c>
    </row>
    <row r="27" spans="1:9" ht="15.75" customHeight="1" x14ac:dyDescent="0.15">
      <c r="A27" s="3" t="s">
        <v>85</v>
      </c>
      <c r="B27" s="3" t="s">
        <v>2</v>
      </c>
      <c r="C27" s="6">
        <v>0</v>
      </c>
      <c r="D27" s="6">
        <v>0</v>
      </c>
      <c r="E27" s="6">
        <v>0</v>
      </c>
      <c r="F27" s="7">
        <v>1.9999999999999998</v>
      </c>
      <c r="G27" s="6">
        <v>0</v>
      </c>
      <c r="H27" s="6">
        <v>254.6479089</v>
      </c>
      <c r="I27" s="6">
        <v>0</v>
      </c>
    </row>
    <row r="28" spans="1:9" ht="15.75" customHeight="1" x14ac:dyDescent="0.15">
      <c r="A28" s="3" t="s">
        <v>85</v>
      </c>
      <c r="B28" s="3" t="s">
        <v>4</v>
      </c>
      <c r="C28" s="6">
        <v>0</v>
      </c>
      <c r="D28" s="6">
        <v>0</v>
      </c>
      <c r="E28" s="6">
        <v>0</v>
      </c>
      <c r="F28" s="7">
        <v>2.7</v>
      </c>
      <c r="G28" s="6">
        <v>0</v>
      </c>
      <c r="H28" s="6">
        <v>10.72688123</v>
      </c>
      <c r="I28" s="6">
        <v>0</v>
      </c>
    </row>
    <row r="29" spans="1:9" ht="15.75" customHeight="1" x14ac:dyDescent="0.15">
      <c r="A29" s="3" t="s">
        <v>85</v>
      </c>
      <c r="B29" s="3" t="s">
        <v>6</v>
      </c>
      <c r="C29" s="6">
        <v>0</v>
      </c>
      <c r="D29" s="6">
        <v>0</v>
      </c>
      <c r="E29" s="6">
        <v>0</v>
      </c>
      <c r="F29" s="6">
        <v>2.78</v>
      </c>
      <c r="G29" s="6">
        <v>0</v>
      </c>
      <c r="H29" s="6">
        <v>8.4084969239999996</v>
      </c>
      <c r="I29" s="6">
        <v>0</v>
      </c>
    </row>
    <row r="30" spans="1:9" ht="15.75" customHeight="1" x14ac:dyDescent="0.15">
      <c r="A30" s="3" t="s">
        <v>85</v>
      </c>
      <c r="B30" s="3" t="s">
        <v>12</v>
      </c>
      <c r="C30" s="6">
        <v>0</v>
      </c>
      <c r="D30" s="6">
        <v>0</v>
      </c>
      <c r="E30" s="6">
        <v>0</v>
      </c>
      <c r="F30" s="7">
        <v>8.9</v>
      </c>
      <c r="G30" s="6">
        <v>0</v>
      </c>
      <c r="H30" s="6">
        <v>44.500045125910397</v>
      </c>
      <c r="I30" s="6">
        <v>0</v>
      </c>
    </row>
    <row r="31" spans="1:9" ht="15.75" customHeight="1" x14ac:dyDescent="0.15">
      <c r="A31" s="3" t="s">
        <v>85</v>
      </c>
      <c r="B31" s="3" t="s">
        <v>74</v>
      </c>
      <c r="C31" s="6">
        <v>0</v>
      </c>
      <c r="D31" s="6">
        <v>0</v>
      </c>
      <c r="E31" s="6">
        <v>0</v>
      </c>
      <c r="F31" s="7">
        <v>2.2000000000000002</v>
      </c>
      <c r="G31" s="6">
        <v>0</v>
      </c>
      <c r="H31" s="6">
        <v>13.98634348</v>
      </c>
      <c r="I31" s="6">
        <v>0</v>
      </c>
    </row>
    <row r="32" spans="1:9" ht="15.75" customHeight="1" x14ac:dyDescent="0.15">
      <c r="A32" s="3" t="s">
        <v>85</v>
      </c>
      <c r="B32" s="3" t="s">
        <v>75</v>
      </c>
      <c r="C32" s="6">
        <v>2068.333333333333</v>
      </c>
      <c r="D32" s="6">
        <v>1.4620186811643498E+20</v>
      </c>
      <c r="E32" s="6">
        <v>0.14620186811643499</v>
      </c>
      <c r="F32" s="7">
        <v>8.9599999999999991</v>
      </c>
      <c r="G32" s="6">
        <v>1.3099687383232574</v>
      </c>
      <c r="H32" s="6">
        <v>6.090112618</v>
      </c>
      <c r="I32" s="6">
        <v>7.97785714244801</v>
      </c>
    </row>
    <row r="33" spans="1:9" ht="15.75" customHeight="1" x14ac:dyDescent="0.15">
      <c r="A33" s="3" t="s">
        <v>85</v>
      </c>
      <c r="B33" s="3" t="s">
        <v>82</v>
      </c>
      <c r="C33" s="6">
        <v>0</v>
      </c>
      <c r="D33" s="6">
        <v>0</v>
      </c>
      <c r="E33" s="6">
        <v>0</v>
      </c>
      <c r="F33" s="6">
        <v>9.69</v>
      </c>
      <c r="G33" s="6">
        <v>0</v>
      </c>
      <c r="H33" s="6">
        <v>24.90282413547882</v>
      </c>
      <c r="I33" s="6">
        <v>0</v>
      </c>
    </row>
    <row r="34" spans="1:9" ht="15.75" customHeight="1" x14ac:dyDescent="0.15">
      <c r="A34" s="3" t="s">
        <v>85</v>
      </c>
      <c r="B34" s="3" t="s">
        <v>22</v>
      </c>
      <c r="C34" s="6">
        <v>26</v>
      </c>
      <c r="D34" s="6">
        <v>1.8378317023500291E+18</v>
      </c>
      <c r="E34" s="6">
        <v>1.8378317023500291E-3</v>
      </c>
      <c r="F34" s="6">
        <v>18.63</v>
      </c>
      <c r="G34" s="6">
        <v>3.4238804614781043E-2</v>
      </c>
      <c r="H34" s="6">
        <v>19053.34</v>
      </c>
      <c r="I34" s="6">
        <v>652.36358551899229</v>
      </c>
    </row>
    <row r="35" spans="1:9" ht="15.75" customHeight="1" x14ac:dyDescent="0.15">
      <c r="A35" s="3" t="s">
        <v>85</v>
      </c>
      <c r="B35" s="3" t="s">
        <v>84</v>
      </c>
      <c r="C35" s="6">
        <v>130</v>
      </c>
      <c r="D35" s="6">
        <v>9.189158511750144E+18</v>
      </c>
      <c r="E35" s="6">
        <v>9.1891585117501434E-3</v>
      </c>
      <c r="F35" s="7">
        <v>2.33</v>
      </c>
      <c r="G35" s="6">
        <v>2.1410739332377835E-2</v>
      </c>
      <c r="H35" s="6">
        <v>4.1309515379999997</v>
      </c>
      <c r="I35" s="6">
        <v>8.8446726574803305E-2</v>
      </c>
    </row>
    <row r="36" spans="1:9" ht="15.75" customHeight="1" x14ac:dyDescent="0.15">
      <c r="A36" s="3" t="s">
        <v>85</v>
      </c>
      <c r="B36" s="3" t="s">
        <v>28</v>
      </c>
      <c r="C36" s="6">
        <v>21500</v>
      </c>
      <c r="D36" s="6">
        <v>1.5197454461740623E+21</v>
      </c>
      <c r="E36" s="6">
        <v>1.5197454461740623</v>
      </c>
      <c r="F36" s="7">
        <v>0.96599999999999986</v>
      </c>
      <c r="G36" s="6">
        <v>1.468074101004144</v>
      </c>
      <c r="H36" s="6">
        <v>4.2</v>
      </c>
      <c r="I36" s="6">
        <v>6.165911224217405</v>
      </c>
    </row>
    <row r="37" spans="1:9" ht="15.75" customHeight="1" x14ac:dyDescent="0.15">
      <c r="A37" s="3" t="s">
        <v>85</v>
      </c>
      <c r="B37" s="3" t="s">
        <v>30</v>
      </c>
      <c r="C37" s="6">
        <v>0</v>
      </c>
      <c r="D37" s="6">
        <v>0</v>
      </c>
      <c r="E37" s="6">
        <v>0</v>
      </c>
      <c r="F37" s="7">
        <v>2.29</v>
      </c>
      <c r="G37" s="6">
        <v>0</v>
      </c>
      <c r="H37" s="6">
        <v>308.88877839999998</v>
      </c>
      <c r="I37" s="6">
        <v>0</v>
      </c>
    </row>
    <row r="38" spans="1:9" ht="15.75" customHeight="1" x14ac:dyDescent="0.15">
      <c r="A38" s="3" t="s">
        <v>85</v>
      </c>
      <c r="B38" s="3" t="s">
        <v>32</v>
      </c>
      <c r="C38" s="6">
        <v>123</v>
      </c>
      <c r="D38" s="6">
        <v>8.6943576688097526E+18</v>
      </c>
      <c r="E38" s="6">
        <v>8.6943576688097522E-3</v>
      </c>
      <c r="F38" s="7">
        <v>3.3299999999999996</v>
      </c>
      <c r="G38" s="6">
        <v>2.8952211037136473E-2</v>
      </c>
      <c r="H38" s="6">
        <v>67.974083140000005</v>
      </c>
      <c r="I38" s="6">
        <v>1.9680000001251403</v>
      </c>
    </row>
    <row r="39" spans="1:9" ht="15.75" customHeight="1" x14ac:dyDescent="0.15">
      <c r="A39" s="3" t="s">
        <v>85</v>
      </c>
      <c r="B39" s="3" t="s">
        <v>36</v>
      </c>
      <c r="C39" s="6">
        <v>244</v>
      </c>
      <c r="D39" s="6">
        <v>1.7247343668207964E+19</v>
      </c>
      <c r="E39" s="6">
        <v>1.7247343668207963E-2</v>
      </c>
      <c r="F39" s="7">
        <v>3.17</v>
      </c>
      <c r="G39" s="6">
        <v>5.4674079428219238E-2</v>
      </c>
      <c r="H39" s="6">
        <v>64.572054300000005</v>
      </c>
      <c r="I39" s="6">
        <v>3.5304176256414861</v>
      </c>
    </row>
    <row r="40" spans="1:9" ht="15.75" customHeight="1" x14ac:dyDescent="0.15">
      <c r="A40" s="3" t="s">
        <v>85</v>
      </c>
      <c r="B40" s="3" t="s">
        <v>38</v>
      </c>
      <c r="C40" s="6">
        <v>3809</v>
      </c>
      <c r="D40" s="6">
        <v>2.6924234439427922E+20</v>
      </c>
      <c r="E40" s="6">
        <v>0.26924234439427924</v>
      </c>
      <c r="F40" s="7">
        <v>2.13</v>
      </c>
      <c r="G40" s="6">
        <v>0.57348619355981478</v>
      </c>
      <c r="H40" s="6">
        <v>2.0464638869999998</v>
      </c>
      <c r="I40" s="6">
        <v>1.1736187848132529</v>
      </c>
    </row>
    <row r="41" spans="1:9" ht="15.75" customHeight="1" x14ac:dyDescent="0.15">
      <c r="A41" s="3" t="s">
        <v>85</v>
      </c>
      <c r="B41" s="3" t="s">
        <v>40</v>
      </c>
      <c r="C41" s="6">
        <v>0</v>
      </c>
      <c r="D41" s="6">
        <v>0</v>
      </c>
      <c r="E41" s="6">
        <v>0</v>
      </c>
      <c r="F41" s="6">
        <v>2</v>
      </c>
      <c r="G41" s="6">
        <v>0</v>
      </c>
      <c r="H41" s="6">
        <v>88.012999603628515</v>
      </c>
      <c r="I41" s="6">
        <v>0</v>
      </c>
    </row>
    <row r="42" spans="1:9" ht="15.75" customHeight="1" x14ac:dyDescent="0.15">
      <c r="A42" s="3" t="s">
        <v>85</v>
      </c>
      <c r="B42" s="3" t="s">
        <v>42</v>
      </c>
      <c r="C42" s="6">
        <v>9.6</v>
      </c>
      <c r="D42" s="6">
        <v>6.7858401317539533E+17</v>
      </c>
      <c r="E42" s="6">
        <v>6.7858401317539532E-4</v>
      </c>
      <c r="F42" s="7">
        <v>2.81</v>
      </c>
      <c r="G42" s="6">
        <v>1.9068210770228609E-3</v>
      </c>
      <c r="H42" s="6">
        <v>37.870563869999998</v>
      </c>
      <c r="I42" s="6">
        <v>7.2212389386056439E-2</v>
      </c>
    </row>
    <row r="43" spans="1:9" ht="15.75" customHeight="1" x14ac:dyDescent="0.15">
      <c r="A43" s="3" t="s">
        <v>85</v>
      </c>
      <c r="B43" s="3" t="s">
        <v>44</v>
      </c>
      <c r="C43" s="6">
        <v>18.333333333333332</v>
      </c>
      <c r="D43" s="6">
        <v>1.2959069696057897E+18</v>
      </c>
      <c r="E43" s="6">
        <v>1.2959069696057896E-3</v>
      </c>
      <c r="F43" s="6">
        <v>16.7</v>
      </c>
      <c r="G43" s="6">
        <v>2.1641646392416686E-2</v>
      </c>
      <c r="H43" s="6">
        <v>170.8356</v>
      </c>
      <c r="I43" s="6">
        <v>3.6971636464363402</v>
      </c>
    </row>
    <row r="44" spans="1:9" ht="15.75" customHeight="1" x14ac:dyDescent="0.15">
      <c r="A44" s="3" t="s">
        <v>85</v>
      </c>
      <c r="B44" s="3" t="s">
        <v>46</v>
      </c>
      <c r="C44" s="6">
        <v>18.333333333333332</v>
      </c>
      <c r="D44" s="6">
        <v>1.2959069696057897E+18</v>
      </c>
      <c r="E44" s="6">
        <v>1.2959069696057896E-3</v>
      </c>
      <c r="F44" s="7">
        <v>13.699999999999998</v>
      </c>
      <c r="G44" s="6">
        <v>1.7753925483599314E-2</v>
      </c>
      <c r="H44" s="6">
        <v>25.81588696</v>
      </c>
      <c r="I44" s="6">
        <v>0.45833333338086324</v>
      </c>
    </row>
    <row r="45" spans="1:9" ht="15.75" customHeight="1" x14ac:dyDescent="0.15">
      <c r="A45" s="3" t="s">
        <v>85</v>
      </c>
      <c r="B45" s="3" t="s">
        <v>48</v>
      </c>
      <c r="C45" s="6">
        <v>0</v>
      </c>
      <c r="D45" s="6">
        <v>0</v>
      </c>
      <c r="E45" s="6">
        <v>0</v>
      </c>
      <c r="F45" s="7">
        <v>0.93999999999999984</v>
      </c>
      <c r="G45" s="6">
        <v>0</v>
      </c>
      <c r="H45" s="6">
        <v>2.8595214360000001</v>
      </c>
      <c r="I45" s="6">
        <v>0</v>
      </c>
    </row>
    <row r="46" spans="1:9" ht="15.75" customHeight="1" x14ac:dyDescent="0.15">
      <c r="A46" s="3" t="s">
        <v>85</v>
      </c>
      <c r="B46" s="3" t="s">
        <v>50</v>
      </c>
      <c r="C46" s="6">
        <v>0</v>
      </c>
      <c r="D46" s="6">
        <v>0</v>
      </c>
      <c r="E46" s="6">
        <v>0</v>
      </c>
      <c r="F46" s="7">
        <v>4.5</v>
      </c>
      <c r="G46" s="6">
        <v>0</v>
      </c>
      <c r="H46" s="6">
        <v>47.633353710000002</v>
      </c>
      <c r="I46" s="6">
        <v>0</v>
      </c>
    </row>
    <row r="47" spans="1:9" ht="15.75" customHeight="1" x14ac:dyDescent="0.15">
      <c r="A47" s="3" t="s">
        <v>85</v>
      </c>
      <c r="B47" s="3" t="s">
        <v>52</v>
      </c>
      <c r="C47" s="6">
        <v>24</v>
      </c>
      <c r="D47" s="6">
        <v>1.6964600329384883E+18</v>
      </c>
      <c r="E47" s="6">
        <v>1.6964600329384884E-3</v>
      </c>
      <c r="F47" s="7">
        <v>5.2099999999999991</v>
      </c>
      <c r="G47" s="6">
        <v>8.8385567716095237E-3</v>
      </c>
      <c r="H47" s="6">
        <v>43.977832020000001</v>
      </c>
      <c r="I47" s="6">
        <v>0.38870056500107714</v>
      </c>
    </row>
    <row r="48" spans="1:9" ht="15.75" customHeight="1" x14ac:dyDescent="0.15">
      <c r="A48" s="3" t="s">
        <v>85</v>
      </c>
      <c r="B48" s="3" t="s">
        <v>56</v>
      </c>
      <c r="C48" s="6">
        <v>500</v>
      </c>
      <c r="D48" s="6">
        <v>3.534291735288517E+19</v>
      </c>
      <c r="E48" s="6">
        <v>3.5342917352885167E-2</v>
      </c>
      <c r="F48" s="7">
        <v>19.3</v>
      </c>
      <c r="G48" s="6">
        <v>0.6821183049106837</v>
      </c>
      <c r="H48" s="6">
        <v>75.814931139999999</v>
      </c>
      <c r="I48" s="6">
        <v>51.714752316137009</v>
      </c>
    </row>
    <row r="49" spans="1:9" ht="15.75" customHeight="1" x14ac:dyDescent="0.15">
      <c r="A49" s="3" t="s">
        <v>85</v>
      </c>
      <c r="B49" s="3" t="s">
        <v>60</v>
      </c>
      <c r="C49" s="6">
        <v>0</v>
      </c>
      <c r="D49" s="6">
        <v>0</v>
      </c>
      <c r="E49" s="6">
        <v>0</v>
      </c>
      <c r="F49" s="6">
        <v>4.8149999999999995</v>
      </c>
      <c r="G49" s="6">
        <v>0</v>
      </c>
      <c r="H49" s="6">
        <v>1065.070666154757</v>
      </c>
      <c r="I49" s="6">
        <v>0</v>
      </c>
    </row>
    <row r="50" spans="1:9" ht="15.75" customHeight="1" x14ac:dyDescent="0.15">
      <c r="A50" s="3" t="s">
        <v>85</v>
      </c>
      <c r="B50" s="3" t="s">
        <v>62</v>
      </c>
      <c r="C50" s="6">
        <v>0</v>
      </c>
      <c r="D50" s="6">
        <v>0</v>
      </c>
      <c r="E50" s="6">
        <v>0</v>
      </c>
      <c r="F50" s="6">
        <v>6.44</v>
      </c>
      <c r="G50" s="6">
        <v>0</v>
      </c>
      <c r="H50" s="6">
        <v>1008.6373963173792</v>
      </c>
      <c r="I50" s="6">
        <v>0</v>
      </c>
    </row>
    <row r="51" spans="1:9" ht="13" x14ac:dyDescent="0.15">
      <c r="A51" s="3" t="s">
        <v>85</v>
      </c>
      <c r="B51" s="3" t="s">
        <v>64</v>
      </c>
      <c r="C51" s="6">
        <v>0</v>
      </c>
      <c r="D51" s="6">
        <v>0</v>
      </c>
      <c r="E51" s="6">
        <v>0</v>
      </c>
      <c r="F51" s="6">
        <v>7.6849999999999996</v>
      </c>
      <c r="G51" s="6">
        <v>0</v>
      </c>
      <c r="H51" s="6">
        <v>1015.9485375966532</v>
      </c>
      <c r="I51" s="6">
        <v>0</v>
      </c>
    </row>
    <row r="52" spans="1:9" ht="13" x14ac:dyDescent="0.15">
      <c r="A52" s="3" t="s">
        <v>86</v>
      </c>
      <c r="B52" s="3" t="s">
        <v>2</v>
      </c>
      <c r="C52" s="6">
        <v>0</v>
      </c>
      <c r="D52" s="6">
        <v>0</v>
      </c>
      <c r="E52" s="6">
        <v>0</v>
      </c>
      <c r="F52" s="7">
        <v>1.9999999999999998</v>
      </c>
      <c r="G52" s="6">
        <v>0</v>
      </c>
      <c r="H52" s="6">
        <v>254.6479089</v>
      </c>
      <c r="I52" s="6">
        <v>0</v>
      </c>
    </row>
    <row r="53" spans="1:9" ht="13" x14ac:dyDescent="0.15">
      <c r="A53" s="3" t="s">
        <v>86</v>
      </c>
      <c r="B53" s="3" t="s">
        <v>4</v>
      </c>
      <c r="C53" s="6">
        <v>0</v>
      </c>
      <c r="D53" s="6">
        <v>0</v>
      </c>
      <c r="E53" s="6">
        <v>0</v>
      </c>
      <c r="F53" s="7">
        <v>2.7</v>
      </c>
      <c r="G53" s="6">
        <v>0</v>
      </c>
      <c r="H53" s="6">
        <v>10.72688123</v>
      </c>
      <c r="I53" s="6">
        <v>0</v>
      </c>
    </row>
    <row r="54" spans="1:9" ht="13" x14ac:dyDescent="0.15">
      <c r="A54" s="3" t="s">
        <v>86</v>
      </c>
      <c r="B54" s="3" t="s">
        <v>6</v>
      </c>
      <c r="C54" s="6">
        <v>0</v>
      </c>
      <c r="D54" s="6">
        <v>0</v>
      </c>
      <c r="E54" s="6">
        <v>0</v>
      </c>
      <c r="F54" s="6">
        <v>2.78</v>
      </c>
      <c r="G54" s="6">
        <v>0</v>
      </c>
      <c r="H54" s="6">
        <v>8.4084969239999996</v>
      </c>
      <c r="I54" s="6">
        <v>0</v>
      </c>
    </row>
    <row r="55" spans="1:9" ht="13" x14ac:dyDescent="0.15">
      <c r="A55" s="3" t="s">
        <v>86</v>
      </c>
      <c r="B55" s="3" t="s">
        <v>12</v>
      </c>
      <c r="C55" s="6">
        <v>2</v>
      </c>
      <c r="D55" s="6">
        <v>1.4137166941154069E+17</v>
      </c>
      <c r="E55" s="6">
        <v>1.4137166941154068E-4</v>
      </c>
      <c r="F55" s="7">
        <v>8.9</v>
      </c>
      <c r="G55" s="6">
        <v>1.2582078577627121E-3</v>
      </c>
      <c r="H55" s="6">
        <v>44.500045125910397</v>
      </c>
      <c r="I55" s="6">
        <v>5.5990306448215739E-2</v>
      </c>
    </row>
    <row r="56" spans="1:9" ht="13" x14ac:dyDescent="0.15">
      <c r="A56" s="3" t="s">
        <v>86</v>
      </c>
      <c r="B56" s="3" t="s">
        <v>74</v>
      </c>
      <c r="C56" s="6">
        <v>0</v>
      </c>
      <c r="D56" s="6">
        <v>0</v>
      </c>
      <c r="E56" s="6">
        <v>0</v>
      </c>
      <c r="F56" s="7">
        <v>2.2000000000000002</v>
      </c>
      <c r="G56" s="6">
        <v>0</v>
      </c>
      <c r="H56" s="6">
        <v>13.98634348</v>
      </c>
      <c r="I56" s="6">
        <v>0</v>
      </c>
    </row>
    <row r="57" spans="1:9" ht="13" x14ac:dyDescent="0.15">
      <c r="A57" s="3" t="s">
        <v>86</v>
      </c>
      <c r="B57" s="3" t="s">
        <v>75</v>
      </c>
      <c r="C57" s="6">
        <v>340</v>
      </c>
      <c r="D57" s="6">
        <v>2.4033183799961919E+19</v>
      </c>
      <c r="E57" s="6">
        <v>2.4033183799961919E-2</v>
      </c>
      <c r="F57" s="7">
        <v>8.9599999999999991</v>
      </c>
      <c r="G57" s="6">
        <v>0.21533732684765877</v>
      </c>
      <c r="H57" s="6">
        <v>6.090112618</v>
      </c>
      <c r="I57" s="6">
        <v>1.311428571361317</v>
      </c>
    </row>
    <row r="58" spans="1:9" ht="13" x14ac:dyDescent="0.15">
      <c r="A58" s="3" t="s">
        <v>86</v>
      </c>
      <c r="B58" s="3" t="s">
        <v>82</v>
      </c>
      <c r="C58" s="6">
        <v>0</v>
      </c>
      <c r="D58" s="6">
        <v>0</v>
      </c>
      <c r="E58" s="6">
        <v>0</v>
      </c>
      <c r="F58" s="6">
        <v>9.69</v>
      </c>
      <c r="G58" s="6">
        <v>0</v>
      </c>
      <c r="H58" s="6">
        <v>24.90282413547882</v>
      </c>
      <c r="I58" s="6">
        <v>0</v>
      </c>
    </row>
    <row r="59" spans="1:9" ht="13" x14ac:dyDescent="0.15">
      <c r="A59" s="3" t="s">
        <v>86</v>
      </c>
      <c r="B59" s="3" t="s">
        <v>22</v>
      </c>
      <c r="C59" s="6">
        <v>0</v>
      </c>
      <c r="D59" s="6">
        <v>0</v>
      </c>
      <c r="E59" s="6">
        <v>0</v>
      </c>
      <c r="F59" s="6">
        <v>18.63</v>
      </c>
      <c r="G59" s="6">
        <v>0</v>
      </c>
      <c r="H59" s="6">
        <v>19053.34</v>
      </c>
      <c r="I59" s="6">
        <v>0</v>
      </c>
    </row>
    <row r="60" spans="1:9" ht="13" x14ac:dyDescent="0.15">
      <c r="A60" s="3" t="s">
        <v>86</v>
      </c>
      <c r="B60" s="3" t="s">
        <v>84</v>
      </c>
      <c r="C60" s="6">
        <v>0</v>
      </c>
      <c r="D60" s="6">
        <v>0</v>
      </c>
      <c r="E60" s="6">
        <v>0</v>
      </c>
      <c r="F60" s="7">
        <v>2.33</v>
      </c>
      <c r="G60" s="6">
        <v>0</v>
      </c>
      <c r="H60" s="6">
        <v>4.1309515379999997</v>
      </c>
      <c r="I60" s="6">
        <v>0</v>
      </c>
    </row>
    <row r="61" spans="1:9" ht="13" x14ac:dyDescent="0.15">
      <c r="A61" s="3" t="s">
        <v>86</v>
      </c>
      <c r="B61" s="3" t="s">
        <v>28</v>
      </c>
      <c r="C61" s="6">
        <v>1000</v>
      </c>
      <c r="D61" s="6">
        <v>7.068583470577034E+19</v>
      </c>
      <c r="E61" s="6">
        <v>7.0685834705770334E-2</v>
      </c>
      <c r="F61" s="7">
        <v>0.96599999999999986</v>
      </c>
      <c r="G61" s="6">
        <v>6.8282516325774131E-2</v>
      </c>
      <c r="H61" s="6">
        <v>4.2</v>
      </c>
      <c r="I61" s="6">
        <v>0.28678656856825135</v>
      </c>
    </row>
    <row r="62" spans="1:9" ht="13" x14ac:dyDescent="0.15">
      <c r="A62" s="3" t="s">
        <v>86</v>
      </c>
      <c r="B62" s="3" t="s">
        <v>30</v>
      </c>
      <c r="C62" s="6">
        <v>0</v>
      </c>
      <c r="D62" s="6">
        <v>0</v>
      </c>
      <c r="E62" s="6">
        <v>0</v>
      </c>
      <c r="F62" s="7">
        <v>2.29</v>
      </c>
      <c r="G62" s="6">
        <v>0</v>
      </c>
      <c r="H62" s="6">
        <v>308.88877839999998</v>
      </c>
      <c r="I62" s="6">
        <v>0</v>
      </c>
    </row>
    <row r="63" spans="1:9" ht="13" x14ac:dyDescent="0.15">
      <c r="A63" s="3" t="s">
        <v>86</v>
      </c>
      <c r="B63" s="3" t="s">
        <v>32</v>
      </c>
      <c r="C63" s="6">
        <v>0</v>
      </c>
      <c r="D63" s="6">
        <v>0</v>
      </c>
      <c r="E63" s="6">
        <v>0</v>
      </c>
      <c r="F63" s="7">
        <v>3.3299999999999996</v>
      </c>
      <c r="G63" s="6">
        <v>0</v>
      </c>
      <c r="H63" s="6">
        <v>67.974083140000005</v>
      </c>
      <c r="I63" s="6">
        <v>0</v>
      </c>
    </row>
    <row r="64" spans="1:9" ht="13" x14ac:dyDescent="0.15">
      <c r="A64" s="3" t="s">
        <v>86</v>
      </c>
      <c r="B64" s="3" t="s">
        <v>36</v>
      </c>
      <c r="C64" s="6">
        <v>0</v>
      </c>
      <c r="D64" s="6">
        <v>0</v>
      </c>
      <c r="E64" s="6">
        <v>0</v>
      </c>
      <c r="F64" s="7">
        <v>3.17</v>
      </c>
      <c r="G64" s="6">
        <v>0</v>
      </c>
      <c r="H64" s="6">
        <v>64.572054300000005</v>
      </c>
      <c r="I64" s="6">
        <v>0</v>
      </c>
    </row>
    <row r="65" spans="1:9" ht="13" x14ac:dyDescent="0.15">
      <c r="A65" s="3" t="s">
        <v>86</v>
      </c>
      <c r="B65" s="3" t="s">
        <v>38</v>
      </c>
      <c r="C65" s="6">
        <v>10</v>
      </c>
      <c r="D65" s="6">
        <v>7.0685834705770342E+17</v>
      </c>
      <c r="E65" s="6">
        <v>7.0685834705770342E-4</v>
      </c>
      <c r="F65" s="7">
        <v>2.13</v>
      </c>
      <c r="G65" s="6">
        <v>1.5056082792329081E-3</v>
      </c>
      <c r="H65" s="6">
        <v>2.0464638869999998</v>
      </c>
      <c r="I65" s="6">
        <v>3.0811729714183582E-3</v>
      </c>
    </row>
    <row r="66" spans="1:9" ht="13" x14ac:dyDescent="0.15">
      <c r="A66" s="3" t="s">
        <v>86</v>
      </c>
      <c r="B66" s="3" t="s">
        <v>40</v>
      </c>
      <c r="C66" s="6">
        <v>300</v>
      </c>
      <c r="D66" s="6">
        <v>2.1205750411731104E+19</v>
      </c>
      <c r="E66" s="6">
        <v>2.1205750411731103E-2</v>
      </c>
      <c r="F66" s="6">
        <v>2</v>
      </c>
      <c r="G66" s="6">
        <v>4.2411500823462206E-2</v>
      </c>
      <c r="H66" s="6">
        <v>88.012999603628515</v>
      </c>
      <c r="I66" s="6">
        <v>3.7327634051646696</v>
      </c>
    </row>
    <row r="67" spans="1:9" ht="13" x14ac:dyDescent="0.15">
      <c r="A67" s="3" t="s">
        <v>86</v>
      </c>
      <c r="B67" s="3" t="s">
        <v>42</v>
      </c>
      <c r="C67" s="6">
        <v>0</v>
      </c>
      <c r="D67" s="6">
        <v>0</v>
      </c>
      <c r="E67" s="6">
        <v>0</v>
      </c>
      <c r="F67" s="7">
        <v>2.81</v>
      </c>
      <c r="G67" s="6">
        <v>0</v>
      </c>
      <c r="H67" s="6">
        <v>37.870563869999998</v>
      </c>
      <c r="I67" s="6">
        <v>0</v>
      </c>
    </row>
    <row r="68" spans="1:9" ht="13" x14ac:dyDescent="0.15">
      <c r="A68" s="3" t="s">
        <v>86</v>
      </c>
      <c r="B68" s="3" t="s">
        <v>44</v>
      </c>
      <c r="C68" s="6">
        <v>15</v>
      </c>
      <c r="D68" s="6">
        <v>1.0602875205865551E+18</v>
      </c>
      <c r="E68" s="6">
        <v>1.0602875205865552E-3</v>
      </c>
      <c r="F68" s="6">
        <v>16.7</v>
      </c>
      <c r="G68" s="6">
        <v>1.7706801593795472E-2</v>
      </c>
      <c r="H68" s="6">
        <v>170.8356</v>
      </c>
      <c r="I68" s="6">
        <v>3.0249520743570057</v>
      </c>
    </row>
    <row r="69" spans="1:9" ht="13" x14ac:dyDescent="0.15">
      <c r="A69" s="3" t="s">
        <v>86</v>
      </c>
      <c r="B69" s="3" t="s">
        <v>46</v>
      </c>
      <c r="C69" s="6">
        <v>15</v>
      </c>
      <c r="D69" s="6">
        <v>1.0602875205865551E+18</v>
      </c>
      <c r="E69" s="6">
        <v>1.0602875205865552E-3</v>
      </c>
      <c r="F69" s="7">
        <v>13.699999999999998</v>
      </c>
      <c r="G69" s="6">
        <v>1.4525939032035804E-2</v>
      </c>
      <c r="H69" s="6">
        <v>25.81588696</v>
      </c>
      <c r="I69" s="6">
        <v>0.37500000003888817</v>
      </c>
    </row>
    <row r="70" spans="1:9" ht="13" x14ac:dyDescent="0.15">
      <c r="A70" s="3" t="s">
        <v>86</v>
      </c>
      <c r="B70" s="3" t="s">
        <v>48</v>
      </c>
      <c r="C70" s="6">
        <v>0</v>
      </c>
      <c r="D70" s="6">
        <v>0</v>
      </c>
      <c r="E70" s="6">
        <v>0</v>
      </c>
      <c r="F70" s="7">
        <v>0.93999999999999984</v>
      </c>
      <c r="G70" s="6">
        <v>0</v>
      </c>
      <c r="H70" s="6">
        <v>2.8595214360000001</v>
      </c>
      <c r="I70" s="6">
        <v>0</v>
      </c>
    </row>
    <row r="71" spans="1:9" ht="13" x14ac:dyDescent="0.15">
      <c r="A71" s="3" t="s">
        <v>86</v>
      </c>
      <c r="B71" s="3" t="s">
        <v>50</v>
      </c>
      <c r="C71" s="6">
        <v>0</v>
      </c>
      <c r="D71" s="6">
        <v>0</v>
      </c>
      <c r="E71" s="6">
        <v>0</v>
      </c>
      <c r="F71" s="7">
        <v>4.5</v>
      </c>
      <c r="G71" s="6">
        <v>0</v>
      </c>
      <c r="H71" s="6">
        <v>47.633353710000002</v>
      </c>
      <c r="I71" s="6">
        <v>0</v>
      </c>
    </row>
    <row r="72" spans="1:9" ht="13" x14ac:dyDescent="0.15">
      <c r="A72" s="3" t="s">
        <v>86</v>
      </c>
      <c r="B72" s="3" t="s">
        <v>52</v>
      </c>
      <c r="C72" s="6">
        <v>0</v>
      </c>
      <c r="D72" s="6">
        <v>0</v>
      </c>
      <c r="E72" s="6">
        <v>0</v>
      </c>
      <c r="F72" s="7">
        <v>5.2099999999999991</v>
      </c>
      <c r="G72" s="6">
        <v>0</v>
      </c>
      <c r="H72" s="6">
        <v>43.977832020000001</v>
      </c>
      <c r="I72" s="6">
        <v>0</v>
      </c>
    </row>
    <row r="73" spans="1:9" ht="13" x14ac:dyDescent="0.15">
      <c r="A73" s="3" t="s">
        <v>86</v>
      </c>
      <c r="B73" s="3" t="s">
        <v>56</v>
      </c>
      <c r="C73" s="6">
        <v>0</v>
      </c>
      <c r="D73" s="6">
        <v>0</v>
      </c>
      <c r="E73" s="6">
        <v>0</v>
      </c>
      <c r="F73" s="7">
        <v>19.3</v>
      </c>
      <c r="G73" s="6">
        <v>0</v>
      </c>
      <c r="H73" s="6">
        <v>75.814931139999999</v>
      </c>
      <c r="I73" s="6">
        <v>0</v>
      </c>
    </row>
    <row r="74" spans="1:9" ht="13" x14ac:dyDescent="0.15">
      <c r="A74" s="3" t="s">
        <v>86</v>
      </c>
      <c r="B74" s="3" t="s">
        <v>58</v>
      </c>
      <c r="C74" s="8">
        <v>0</v>
      </c>
      <c r="D74" s="8" t="s">
        <v>77</v>
      </c>
      <c r="E74" s="8" t="s">
        <v>77</v>
      </c>
      <c r="F74" s="9" t="s">
        <v>77</v>
      </c>
      <c r="G74" s="8" t="s">
        <v>77</v>
      </c>
      <c r="H74" s="6">
        <v>365.30540000000002</v>
      </c>
      <c r="I74" s="6">
        <v>51643.834243050638</v>
      </c>
    </row>
    <row r="75" spans="1:9" ht="13" x14ac:dyDescent="0.15">
      <c r="A75" s="3" t="s">
        <v>86</v>
      </c>
      <c r="B75" s="3" t="s">
        <v>60</v>
      </c>
      <c r="C75" s="6">
        <v>0</v>
      </c>
      <c r="D75" s="6">
        <v>0</v>
      </c>
      <c r="E75" s="6">
        <v>0</v>
      </c>
      <c r="F75" s="6">
        <v>4.8149999999999995</v>
      </c>
      <c r="G75" s="6">
        <v>0</v>
      </c>
      <c r="H75" s="6">
        <v>1065.070666154757</v>
      </c>
      <c r="I75" s="6">
        <v>0</v>
      </c>
    </row>
    <row r="76" spans="1:9" ht="13" x14ac:dyDescent="0.15">
      <c r="A76" s="3" t="s">
        <v>86</v>
      </c>
      <c r="B76" s="3" t="s">
        <v>62</v>
      </c>
      <c r="C76" s="6">
        <v>0</v>
      </c>
      <c r="D76" s="6">
        <v>0</v>
      </c>
      <c r="E76" s="6">
        <v>0</v>
      </c>
      <c r="F76" s="6">
        <v>6.44</v>
      </c>
      <c r="G76" s="6">
        <v>0</v>
      </c>
      <c r="H76" s="6">
        <v>1008.6373963173792</v>
      </c>
      <c r="I76" s="6">
        <v>0</v>
      </c>
    </row>
    <row r="77" spans="1:9" ht="13" x14ac:dyDescent="0.15">
      <c r="A77" s="3" t="s">
        <v>86</v>
      </c>
      <c r="B77" s="3" t="s">
        <v>64</v>
      </c>
      <c r="C77" s="6">
        <v>0</v>
      </c>
      <c r="D77" s="6">
        <v>0</v>
      </c>
      <c r="E77" s="6">
        <v>0</v>
      </c>
      <c r="F77" s="6">
        <v>7.6849999999999996</v>
      </c>
      <c r="G77" s="6">
        <v>0</v>
      </c>
      <c r="H77" s="6">
        <v>1015.9485375966532</v>
      </c>
      <c r="I77" s="6">
        <v>0</v>
      </c>
    </row>
    <row r="78" spans="1:9" ht="13" x14ac:dyDescent="0.15">
      <c r="A78" s="3"/>
      <c r="B78" s="3"/>
      <c r="C78" s="3"/>
      <c r="D78" s="3"/>
      <c r="E78" s="3"/>
      <c r="F78" s="3"/>
      <c r="G78" s="3"/>
      <c r="H78" s="3"/>
      <c r="I78" s="3"/>
    </row>
    <row r="79" spans="1:9" ht="13" x14ac:dyDescent="0.15">
      <c r="A79" s="3"/>
      <c r="B79" s="3"/>
      <c r="C79" s="3"/>
      <c r="D79" s="3"/>
      <c r="E79" s="3"/>
      <c r="F79" s="3"/>
      <c r="G79" s="3"/>
      <c r="H79" s="3" t="s">
        <v>78</v>
      </c>
      <c r="I79" s="6">
        <v>870.47809689214046</v>
      </c>
    </row>
    <row r="80" spans="1:9" ht="13" x14ac:dyDescent="0.15">
      <c r="A80" s="3"/>
      <c r="B80" s="3"/>
      <c r="C80" s="3"/>
      <c r="D80" s="3"/>
      <c r="E80" s="3"/>
      <c r="F80" s="3"/>
      <c r="G80" s="3"/>
      <c r="H80" s="3" t="s">
        <v>79</v>
      </c>
      <c r="I80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1"/>
  <sheetViews>
    <sheetView workbookViewId="0"/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58</v>
      </c>
      <c r="B1" s="1" t="s">
        <v>66</v>
      </c>
      <c r="C1" s="1" t="s">
        <v>81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80</v>
      </c>
      <c r="I1" s="1" t="s">
        <v>73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83</v>
      </c>
      <c r="B2" s="2" t="s">
        <v>2</v>
      </c>
      <c r="C2" s="2">
        <v>600</v>
      </c>
      <c r="D2" s="2">
        <v>4.2411500823462207E+19</v>
      </c>
      <c r="E2" s="2">
        <v>4.2411500823462206E-2</v>
      </c>
      <c r="F2" s="4">
        <v>1.9999999999999998</v>
      </c>
      <c r="G2" s="2">
        <v>8.4823001646924398E-2</v>
      </c>
      <c r="H2" s="2">
        <v>254.6479089</v>
      </c>
      <c r="I2" s="2">
        <v>21.599999996010556</v>
      </c>
    </row>
    <row r="3" spans="1:26" ht="15.75" customHeight="1" x14ac:dyDescent="0.15">
      <c r="A3" s="2" t="s">
        <v>83</v>
      </c>
      <c r="B3" s="2" t="s">
        <v>4</v>
      </c>
      <c r="C3" s="2">
        <v>4745</v>
      </c>
      <c r="D3" s="2">
        <v>3.3540428567888029E+20</v>
      </c>
      <c r="E3" s="2">
        <v>0.33540428567888031</v>
      </c>
      <c r="F3" s="4">
        <v>2.7</v>
      </c>
      <c r="G3" s="2">
        <v>0.90559157133297685</v>
      </c>
      <c r="H3" s="2">
        <v>10.72688123</v>
      </c>
      <c r="I3" s="2">
        <v>9.7141732285779163</v>
      </c>
    </row>
    <row r="4" spans="1:26" ht="15.75" customHeight="1" x14ac:dyDescent="0.15">
      <c r="A4" s="2" t="s">
        <v>83</v>
      </c>
      <c r="B4" s="2" t="s">
        <v>6</v>
      </c>
      <c r="C4" s="2">
        <v>0</v>
      </c>
      <c r="D4" s="2">
        <v>0</v>
      </c>
      <c r="E4" s="2">
        <v>0</v>
      </c>
      <c r="F4" s="2">
        <v>2.78</v>
      </c>
      <c r="G4" s="2">
        <v>0</v>
      </c>
      <c r="H4" s="2">
        <v>8.4084969239999996</v>
      </c>
      <c r="I4" s="2">
        <v>0</v>
      </c>
    </row>
    <row r="5" spans="1:26" ht="15.75" customHeight="1" x14ac:dyDescent="0.15">
      <c r="A5" s="2" t="s">
        <v>83</v>
      </c>
      <c r="B5" s="2" t="s">
        <v>12</v>
      </c>
      <c r="C5" s="2">
        <v>27.5</v>
      </c>
      <c r="D5" s="2">
        <v>1.9438604544086845E+18</v>
      </c>
      <c r="E5" s="2">
        <v>1.9438604544086845E-3</v>
      </c>
      <c r="F5" s="4">
        <v>8.9</v>
      </c>
      <c r="G5" s="2">
        <v>1.7300358044237293E-2</v>
      </c>
      <c r="H5" s="2">
        <v>44.500045125910397</v>
      </c>
      <c r="I5" s="2">
        <v>0.76986671366296644</v>
      </c>
    </row>
    <row r="6" spans="1:26" ht="15.75" customHeight="1" x14ac:dyDescent="0.15">
      <c r="A6" s="2" t="s">
        <v>83</v>
      </c>
      <c r="B6" s="2" t="s">
        <v>74</v>
      </c>
      <c r="C6" s="2">
        <v>1140</v>
      </c>
      <c r="D6" s="2">
        <v>8.0581851564578193E+19</v>
      </c>
      <c r="E6" s="2">
        <v>8.05818515645782E-2</v>
      </c>
      <c r="F6" s="4">
        <v>2.2000000000000002</v>
      </c>
      <c r="G6" s="2">
        <v>0.17728007344207206</v>
      </c>
      <c r="H6" s="2">
        <v>13.98634348</v>
      </c>
      <c r="I6" s="2">
        <v>2.4794999993204456</v>
      </c>
    </row>
    <row r="7" spans="1:26" ht="15.75" customHeight="1" x14ac:dyDescent="0.15">
      <c r="A7" s="2" t="s">
        <v>83</v>
      </c>
      <c r="B7" s="2" t="s">
        <v>75</v>
      </c>
      <c r="C7" s="2">
        <v>550</v>
      </c>
      <c r="D7" s="2">
        <v>3.8877209088173695E+19</v>
      </c>
      <c r="E7" s="2">
        <v>3.8877209088173693E-2</v>
      </c>
      <c r="F7" s="4">
        <v>8.9599999999999991</v>
      </c>
      <c r="G7" s="2">
        <v>0.34833979343003624</v>
      </c>
      <c r="H7" s="2">
        <v>6.090112618</v>
      </c>
      <c r="I7" s="2">
        <v>2.1214285713197771</v>
      </c>
    </row>
    <row r="8" spans="1:26" ht="15.75" customHeight="1" x14ac:dyDescent="0.15">
      <c r="A8" s="2" t="s">
        <v>83</v>
      </c>
      <c r="B8" s="2" t="s">
        <v>82</v>
      </c>
      <c r="C8" s="2">
        <v>18</v>
      </c>
      <c r="D8" s="2">
        <v>1.2723450247038661E+18</v>
      </c>
      <c r="E8" s="2">
        <v>1.2723450247038662E-3</v>
      </c>
      <c r="F8" s="2">
        <v>9.69</v>
      </c>
      <c r="G8" s="2">
        <v>1.2329023289380462E-2</v>
      </c>
      <c r="H8" s="2">
        <v>24.90282413547882</v>
      </c>
      <c r="I8" s="2">
        <v>0.30702749873766422</v>
      </c>
    </row>
    <row r="9" spans="1:26" ht="15.75" customHeight="1" x14ac:dyDescent="0.15">
      <c r="A9" s="2" t="s">
        <v>83</v>
      </c>
      <c r="B9" s="2" t="s">
        <v>20</v>
      </c>
      <c r="C9" s="2">
        <v>26</v>
      </c>
      <c r="D9" s="2">
        <v>1.8378317023500291E+18</v>
      </c>
      <c r="E9" s="2">
        <v>1.8378317023500291E-3</v>
      </c>
      <c r="F9" s="2">
        <v>10.28</v>
      </c>
      <c r="G9" s="2">
        <v>1.8892909900158298E-2</v>
      </c>
      <c r="H9" s="2">
        <v>16.41</v>
      </c>
      <c r="I9" s="2">
        <v>0.3100326514615977</v>
      </c>
    </row>
    <row r="10" spans="1:26" ht="15.75" customHeight="1" x14ac:dyDescent="0.15">
      <c r="A10" s="2" t="s">
        <v>83</v>
      </c>
      <c r="B10" s="2" t="s">
        <v>22</v>
      </c>
      <c r="C10" s="2">
        <v>0</v>
      </c>
      <c r="D10" s="2">
        <v>0</v>
      </c>
      <c r="E10" s="2">
        <v>0</v>
      </c>
      <c r="F10" s="2">
        <v>18.63</v>
      </c>
      <c r="G10" s="2">
        <v>0</v>
      </c>
      <c r="H10" s="2">
        <v>19053.34</v>
      </c>
      <c r="I10" s="2">
        <v>0</v>
      </c>
    </row>
    <row r="11" spans="1:26" ht="15.75" customHeight="1" x14ac:dyDescent="0.15">
      <c r="A11" s="2" t="s">
        <v>83</v>
      </c>
      <c r="B11" s="2" t="s">
        <v>84</v>
      </c>
      <c r="C11" s="2">
        <v>0</v>
      </c>
      <c r="D11" s="2">
        <v>0</v>
      </c>
      <c r="E11" s="2">
        <v>0</v>
      </c>
      <c r="F11" s="4">
        <v>2.33</v>
      </c>
      <c r="G11" s="2">
        <v>0</v>
      </c>
      <c r="H11" s="2">
        <v>4.1309515379999997</v>
      </c>
      <c r="I11" s="2">
        <v>0</v>
      </c>
    </row>
    <row r="12" spans="1:26" ht="15.75" customHeight="1" x14ac:dyDescent="0.15">
      <c r="A12" s="2" t="s">
        <v>83</v>
      </c>
      <c r="B12" s="2" t="s">
        <v>28</v>
      </c>
      <c r="C12" s="2">
        <v>36130</v>
      </c>
      <c r="D12" s="2">
        <v>2.5538792079194823E+21</v>
      </c>
      <c r="E12" s="2">
        <v>2.5538792079194823</v>
      </c>
      <c r="F12" s="4">
        <v>0.96599999999999986</v>
      </c>
      <c r="G12" s="2">
        <v>2.4670473148502197</v>
      </c>
      <c r="H12" s="2">
        <v>4.2</v>
      </c>
      <c r="I12" s="2">
        <v>10.361598722370923</v>
      </c>
    </row>
    <row r="13" spans="1:26" ht="15.75" customHeight="1" x14ac:dyDescent="0.15">
      <c r="A13" s="2" t="s">
        <v>83</v>
      </c>
      <c r="B13" s="2" t="s">
        <v>30</v>
      </c>
      <c r="C13" s="2">
        <v>55</v>
      </c>
      <c r="D13" s="2">
        <v>3.8877209088173691E+18</v>
      </c>
      <c r="E13" s="2">
        <v>3.8877209088173689E-3</v>
      </c>
      <c r="F13" s="4">
        <v>2.29</v>
      </c>
      <c r="G13" s="2">
        <v>8.9028808811917742E-3</v>
      </c>
      <c r="H13" s="2">
        <v>308.88877839999998</v>
      </c>
      <c r="I13" s="2">
        <v>2.7499999996320423</v>
      </c>
    </row>
    <row r="14" spans="1:26" ht="15.75" customHeight="1" x14ac:dyDescent="0.15">
      <c r="A14" s="2" t="s">
        <v>83</v>
      </c>
      <c r="B14" s="2" t="s">
        <v>32</v>
      </c>
      <c r="C14" s="2">
        <v>120</v>
      </c>
      <c r="D14" s="2">
        <v>8.4823001646924411E+18</v>
      </c>
      <c r="E14" s="2">
        <v>8.4823001646924419E-3</v>
      </c>
      <c r="F14" s="4">
        <v>3.3299999999999996</v>
      </c>
      <c r="G14" s="2">
        <v>2.8246059548425829E-2</v>
      </c>
      <c r="H14" s="2">
        <v>67.974083140000005</v>
      </c>
      <c r="I14" s="2">
        <v>1.9200000001220883</v>
      </c>
    </row>
    <row r="15" spans="1:26" ht="15.75" customHeight="1" x14ac:dyDescent="0.15">
      <c r="A15" s="2" t="s">
        <v>83</v>
      </c>
      <c r="B15" s="2" t="s">
        <v>36</v>
      </c>
      <c r="C15" s="2">
        <v>1154</v>
      </c>
      <c r="D15" s="2">
        <v>8.1571453250458976E+19</v>
      </c>
      <c r="E15" s="2">
        <v>8.1571453250458975E-2</v>
      </c>
      <c r="F15" s="4">
        <v>3.17</v>
      </c>
      <c r="G15" s="2">
        <v>0.25858150680395492</v>
      </c>
      <c r="H15" s="2">
        <v>64.572054300000005</v>
      </c>
      <c r="I15" s="2">
        <v>16.697139098320797</v>
      </c>
    </row>
    <row r="16" spans="1:26" ht="15.75" customHeight="1" x14ac:dyDescent="0.15">
      <c r="A16" s="2" t="s">
        <v>83</v>
      </c>
      <c r="B16" s="2" t="s">
        <v>38</v>
      </c>
      <c r="C16" s="2">
        <v>10902</v>
      </c>
      <c r="D16" s="2">
        <v>7.7061696996230824E+20</v>
      </c>
      <c r="E16" s="2">
        <v>0.77061696996230822</v>
      </c>
      <c r="F16" s="4">
        <v>2.13</v>
      </c>
      <c r="G16" s="2">
        <v>1.6414141460197165</v>
      </c>
      <c r="H16" s="2">
        <v>2.0464638869999998</v>
      </c>
      <c r="I16" s="2">
        <v>3.3590947734402943</v>
      </c>
    </row>
    <row r="17" spans="1:9" ht="15.75" customHeight="1" x14ac:dyDescent="0.15">
      <c r="A17" s="2" t="s">
        <v>83</v>
      </c>
      <c r="B17" s="2" t="s">
        <v>40</v>
      </c>
      <c r="C17" s="2">
        <v>882</v>
      </c>
      <c r="D17" s="2">
        <v>6.2344906210489442E+19</v>
      </c>
      <c r="E17" s="2">
        <v>6.2344906210489444E-2</v>
      </c>
      <c r="F17" s="2">
        <v>2</v>
      </c>
      <c r="G17" s="2">
        <v>0.12468981242097889</v>
      </c>
      <c r="H17" s="2">
        <v>2</v>
      </c>
      <c r="I17" s="2">
        <v>0.24937962484195778</v>
      </c>
    </row>
    <row r="18" spans="1:9" ht="15.75" customHeight="1" x14ac:dyDescent="0.15">
      <c r="A18" s="2" t="s">
        <v>83</v>
      </c>
      <c r="B18" s="2" t="s">
        <v>42</v>
      </c>
      <c r="C18" s="2">
        <v>352.4</v>
      </c>
      <c r="D18" s="2">
        <v>2.4909688150313468E+19</v>
      </c>
      <c r="E18" s="2">
        <v>2.4909688150313469E-2</v>
      </c>
      <c r="F18" s="4">
        <v>2.81</v>
      </c>
      <c r="G18" s="2">
        <v>6.9996223702380844E-2</v>
      </c>
      <c r="H18" s="2">
        <v>37.870563869999998</v>
      </c>
      <c r="I18" s="2">
        <v>2.6507964603798215</v>
      </c>
    </row>
    <row r="19" spans="1:9" ht="15.75" customHeight="1" x14ac:dyDescent="0.15">
      <c r="A19" s="2" t="s">
        <v>83</v>
      </c>
      <c r="B19" s="2" t="s">
        <v>44</v>
      </c>
      <c r="C19" s="2">
        <v>22.5</v>
      </c>
      <c r="D19" s="2">
        <v>1.5904312808798328E+18</v>
      </c>
      <c r="E19" s="2">
        <v>1.5904312808798329E-3</v>
      </c>
      <c r="F19" s="2">
        <v>16.7</v>
      </c>
      <c r="G19" s="2">
        <v>2.6560202390693208E-2</v>
      </c>
      <c r="H19" s="2">
        <v>170.8356</v>
      </c>
      <c r="I19" s="2">
        <v>4.5374281115355091</v>
      </c>
    </row>
    <row r="20" spans="1:9" ht="15.75" customHeight="1" x14ac:dyDescent="0.15">
      <c r="A20" s="2" t="s">
        <v>83</v>
      </c>
      <c r="B20" s="2" t="s">
        <v>46</v>
      </c>
      <c r="C20" s="2">
        <v>22.5</v>
      </c>
      <c r="D20" s="2">
        <v>1.5904312808798328E+18</v>
      </c>
      <c r="E20" s="2">
        <v>1.5904312808798329E-3</v>
      </c>
      <c r="F20" s="4">
        <v>13.699999999999998</v>
      </c>
      <c r="G20" s="2">
        <v>2.1788908548053706E-2</v>
      </c>
      <c r="H20" s="2">
        <v>25.81588696</v>
      </c>
      <c r="I20" s="2">
        <v>0.56250000005833223</v>
      </c>
    </row>
    <row r="21" spans="1:9" ht="15.75" customHeight="1" x14ac:dyDescent="0.15">
      <c r="A21" s="2" t="s">
        <v>83</v>
      </c>
      <c r="B21" s="2" t="s">
        <v>48</v>
      </c>
      <c r="C21" s="2">
        <v>300</v>
      </c>
      <c r="D21" s="2">
        <v>2.1205750411731104E+19</v>
      </c>
      <c r="E21" s="2">
        <v>2.1205750411731103E-2</v>
      </c>
      <c r="F21" s="4">
        <v>0.93999999999999984</v>
      </c>
      <c r="G21" s="2">
        <v>1.9933405387027234E-2</v>
      </c>
      <c r="H21" s="2">
        <v>2.8595214360000001</v>
      </c>
      <c r="I21" s="2">
        <v>5.6999999996682253E-2</v>
      </c>
    </row>
    <row r="22" spans="1:9" ht="15.75" customHeight="1" x14ac:dyDescent="0.15">
      <c r="A22" s="2" t="s">
        <v>83</v>
      </c>
      <c r="B22" s="2" t="s">
        <v>50</v>
      </c>
      <c r="C22" s="2">
        <v>12.5</v>
      </c>
      <c r="D22" s="2">
        <v>8.8357293382212941E+17</v>
      </c>
      <c r="E22" s="2">
        <v>8.8357293382212944E-4</v>
      </c>
      <c r="F22" s="4">
        <v>4.5</v>
      </c>
      <c r="G22" s="2">
        <v>3.9760782021995827E-3</v>
      </c>
      <c r="H22" s="2">
        <v>47.633353710000002</v>
      </c>
      <c r="I22" s="2">
        <v>0.18939393938399363</v>
      </c>
    </row>
    <row r="23" spans="1:9" ht="15.75" customHeight="1" x14ac:dyDescent="0.15">
      <c r="A23" s="2" t="s">
        <v>83</v>
      </c>
      <c r="B23" s="2" t="s">
        <v>52</v>
      </c>
      <c r="C23" s="2">
        <v>94</v>
      </c>
      <c r="D23" s="2">
        <v>6.6444684623424133E+18</v>
      </c>
      <c r="E23" s="2">
        <v>6.6444684623424132E-3</v>
      </c>
      <c r="F23" s="4">
        <v>5.2099999999999991</v>
      </c>
      <c r="G23" s="2">
        <v>3.461768068880397E-2</v>
      </c>
      <c r="H23" s="2">
        <v>43.977832020000001</v>
      </c>
      <c r="I23" s="2">
        <v>1.522410546254219</v>
      </c>
    </row>
    <row r="24" spans="1:9" ht="15.75" customHeight="1" x14ac:dyDescent="0.15">
      <c r="A24" s="2" t="s">
        <v>83</v>
      </c>
      <c r="B24" s="2" t="s">
        <v>56</v>
      </c>
      <c r="C24" s="2">
        <v>332</v>
      </c>
      <c r="D24" s="2">
        <v>2.3467697122315756E+19</v>
      </c>
      <c r="E24" s="2">
        <v>2.3467697122315754E-2</v>
      </c>
      <c r="F24" s="4">
        <v>19.3</v>
      </c>
      <c r="G24" s="2">
        <v>0.45292655446069408</v>
      </c>
      <c r="H24" s="2">
        <v>75.814931139999999</v>
      </c>
      <c r="I24" s="2">
        <v>34.338595537914983</v>
      </c>
    </row>
    <row r="25" spans="1:9" ht="15.75" customHeight="1" x14ac:dyDescent="0.15">
      <c r="A25" s="2" t="s">
        <v>83</v>
      </c>
      <c r="B25" s="2" t="s">
        <v>60</v>
      </c>
      <c r="C25" s="2">
        <v>2.4</v>
      </c>
      <c r="D25" s="2">
        <v>1.6964600329384883E+17</v>
      </c>
      <c r="E25" s="2">
        <v>1.6964600329384883E-4</v>
      </c>
      <c r="F25" s="2">
        <v>4.8149999999999995</v>
      </c>
      <c r="G25" s="2">
        <v>8.1684550585988205E-4</v>
      </c>
      <c r="H25" s="2">
        <v>1065.070666154757</v>
      </c>
      <c r="I25" s="2">
        <v>0.86999818707170395</v>
      </c>
    </row>
    <row r="26" spans="1:9" ht="15.75" customHeight="1" x14ac:dyDescent="0.15">
      <c r="A26" s="2" t="s">
        <v>83</v>
      </c>
      <c r="B26" s="2" t="s">
        <v>62</v>
      </c>
      <c r="C26" s="2">
        <v>1.6</v>
      </c>
      <c r="D26" s="2">
        <v>1.1309733552923256E+17</v>
      </c>
      <c r="E26" s="2">
        <v>1.1309733552923256E-4</v>
      </c>
      <c r="F26" s="2">
        <v>6.44</v>
      </c>
      <c r="G26" s="2">
        <v>7.283468408082577E-4</v>
      </c>
      <c r="H26" s="2">
        <v>1008.6373963173792</v>
      </c>
      <c r="I26" s="2">
        <v>0.73463786112882967</v>
      </c>
    </row>
    <row r="27" spans="1:9" ht="15.75" customHeight="1" x14ac:dyDescent="0.15">
      <c r="A27" s="2" t="s">
        <v>83</v>
      </c>
      <c r="B27" s="2" t="s">
        <v>64</v>
      </c>
      <c r="C27" s="2">
        <v>1.6</v>
      </c>
      <c r="D27" s="2">
        <v>1.1309733552923256E+17</v>
      </c>
      <c r="E27" s="2">
        <v>1.1309733552923256E-4</v>
      </c>
      <c r="F27" s="2">
        <v>7.6849999999999996</v>
      </c>
      <c r="G27" s="2">
        <v>8.6915302354215217E-4</v>
      </c>
      <c r="H27" s="2">
        <v>1015.9485375966532</v>
      </c>
      <c r="I27" s="2">
        <v>0.883014743215359</v>
      </c>
    </row>
    <row r="28" spans="1:9" ht="15.75" customHeight="1" x14ac:dyDescent="0.15">
      <c r="A28" s="2" t="s">
        <v>85</v>
      </c>
      <c r="B28" s="2" t="s">
        <v>2</v>
      </c>
      <c r="C28" s="2">
        <v>0</v>
      </c>
      <c r="D28" s="2">
        <v>0</v>
      </c>
      <c r="E28" s="2">
        <v>0</v>
      </c>
      <c r="F28" s="4">
        <v>1.9999999999999998</v>
      </c>
      <c r="G28" s="2">
        <v>0</v>
      </c>
      <c r="H28" s="2">
        <v>254.6479089</v>
      </c>
      <c r="I28" s="2">
        <v>0</v>
      </c>
    </row>
    <row r="29" spans="1:9" ht="15.75" customHeight="1" x14ac:dyDescent="0.15">
      <c r="A29" s="2" t="s">
        <v>85</v>
      </c>
      <c r="B29" s="2" t="s">
        <v>4</v>
      </c>
      <c r="C29" s="2">
        <v>0</v>
      </c>
      <c r="D29" s="2">
        <v>0</v>
      </c>
      <c r="E29" s="2">
        <v>0</v>
      </c>
      <c r="F29" s="4">
        <v>2.7</v>
      </c>
      <c r="G29" s="2">
        <v>0</v>
      </c>
      <c r="H29" s="2">
        <v>10.72688123</v>
      </c>
      <c r="I29" s="2">
        <v>0</v>
      </c>
    </row>
    <row r="30" spans="1:9" ht="15.75" customHeight="1" x14ac:dyDescent="0.15">
      <c r="A30" s="2" t="s">
        <v>85</v>
      </c>
      <c r="B30" s="2" t="s">
        <v>6</v>
      </c>
      <c r="C30" s="2">
        <v>0</v>
      </c>
      <c r="D30" s="2">
        <v>0</v>
      </c>
      <c r="E30" s="2">
        <v>0</v>
      </c>
      <c r="F30" s="2">
        <v>2.78</v>
      </c>
      <c r="G30" s="2">
        <v>0</v>
      </c>
      <c r="H30" s="2">
        <v>8.4084969239999996</v>
      </c>
      <c r="I30" s="2">
        <v>0</v>
      </c>
    </row>
    <row r="31" spans="1:9" ht="15.75" customHeight="1" x14ac:dyDescent="0.15">
      <c r="A31" s="2" t="s">
        <v>85</v>
      </c>
      <c r="B31" s="2" t="s">
        <v>12</v>
      </c>
      <c r="C31" s="2">
        <v>0</v>
      </c>
      <c r="D31" s="2">
        <v>0</v>
      </c>
      <c r="E31" s="2">
        <v>0</v>
      </c>
      <c r="F31" s="4">
        <v>8.9</v>
      </c>
      <c r="G31" s="2">
        <v>0</v>
      </c>
      <c r="H31" s="2">
        <v>44.500045125910397</v>
      </c>
      <c r="I31" s="2">
        <v>0</v>
      </c>
    </row>
    <row r="32" spans="1:9" ht="15.75" customHeight="1" x14ac:dyDescent="0.15">
      <c r="A32" s="2" t="s">
        <v>85</v>
      </c>
      <c r="B32" s="2" t="s">
        <v>74</v>
      </c>
      <c r="C32" s="2">
        <v>0</v>
      </c>
      <c r="D32" s="2">
        <v>0</v>
      </c>
      <c r="E32" s="2">
        <v>0</v>
      </c>
      <c r="F32" s="4">
        <v>2.2000000000000002</v>
      </c>
      <c r="G32" s="2">
        <v>0</v>
      </c>
      <c r="H32" s="2">
        <v>13.98634348</v>
      </c>
      <c r="I32" s="2">
        <v>0</v>
      </c>
    </row>
    <row r="33" spans="1:9" ht="15.75" customHeight="1" x14ac:dyDescent="0.15">
      <c r="A33" s="2" t="s">
        <v>85</v>
      </c>
      <c r="B33" s="2" t="s">
        <v>75</v>
      </c>
      <c r="C33" s="2">
        <v>2068.333333333333</v>
      </c>
      <c r="D33" s="2">
        <v>1.4620186811643498E+20</v>
      </c>
      <c r="E33" s="2">
        <v>0.14620186811643499</v>
      </c>
      <c r="F33" s="4">
        <v>8.9599999999999991</v>
      </c>
      <c r="G33" s="2">
        <v>1.3099687383232574</v>
      </c>
      <c r="H33" s="2">
        <v>6.090112618</v>
      </c>
      <c r="I33" s="2">
        <v>7.97785714244801</v>
      </c>
    </row>
    <row r="34" spans="1:9" ht="15.75" customHeight="1" x14ac:dyDescent="0.15">
      <c r="A34" s="2" t="s">
        <v>85</v>
      </c>
      <c r="B34" s="2" t="s">
        <v>82</v>
      </c>
      <c r="C34" s="2">
        <v>0</v>
      </c>
      <c r="D34" s="2">
        <v>0</v>
      </c>
      <c r="E34" s="2">
        <v>0</v>
      </c>
      <c r="F34" s="2">
        <v>9.69</v>
      </c>
      <c r="G34" s="2">
        <v>0</v>
      </c>
      <c r="H34" s="2">
        <v>24.90282413547882</v>
      </c>
      <c r="I34" s="2">
        <v>0</v>
      </c>
    </row>
    <row r="35" spans="1:9" ht="15.75" customHeight="1" x14ac:dyDescent="0.15">
      <c r="A35" s="2" t="s">
        <v>85</v>
      </c>
      <c r="B35" s="2" t="s">
        <v>22</v>
      </c>
      <c r="C35" s="2">
        <v>26</v>
      </c>
      <c r="D35" s="2">
        <v>1.8378317023500291E+18</v>
      </c>
      <c r="E35" s="2">
        <v>1.8378317023500291E-3</v>
      </c>
      <c r="F35" s="2">
        <v>18.63</v>
      </c>
      <c r="G35" s="2">
        <v>3.4238804614781043E-2</v>
      </c>
      <c r="H35" s="2">
        <v>19053.34</v>
      </c>
      <c r="I35" s="2">
        <v>652.36358551899229</v>
      </c>
    </row>
    <row r="36" spans="1:9" ht="15.75" customHeight="1" x14ac:dyDescent="0.15">
      <c r="A36" s="2" t="s">
        <v>85</v>
      </c>
      <c r="B36" s="2" t="s">
        <v>84</v>
      </c>
      <c r="C36" s="2">
        <v>130</v>
      </c>
      <c r="D36" s="2">
        <v>9.189158511750144E+18</v>
      </c>
      <c r="E36" s="2">
        <v>9.1891585117501434E-3</v>
      </c>
      <c r="F36" s="4">
        <v>2.33</v>
      </c>
      <c r="G36" s="2">
        <v>2.1410739332377835E-2</v>
      </c>
      <c r="H36" s="2">
        <v>4.1309515379999997</v>
      </c>
      <c r="I36" s="2">
        <v>8.8446726574803305E-2</v>
      </c>
    </row>
    <row r="37" spans="1:9" ht="15.75" customHeight="1" x14ac:dyDescent="0.15">
      <c r="A37" s="2" t="s">
        <v>85</v>
      </c>
      <c r="B37" s="2" t="s">
        <v>28</v>
      </c>
      <c r="C37" s="2">
        <v>21500</v>
      </c>
      <c r="D37" s="2">
        <v>1.5197454461740623E+21</v>
      </c>
      <c r="E37" s="2">
        <v>1.5197454461740623</v>
      </c>
      <c r="F37" s="4">
        <v>0.96599999999999986</v>
      </c>
      <c r="G37" s="2">
        <v>1.468074101004144</v>
      </c>
      <c r="H37" s="2">
        <v>4.2</v>
      </c>
      <c r="I37" s="2">
        <v>6.165911224217405</v>
      </c>
    </row>
    <row r="38" spans="1:9" ht="15.75" customHeight="1" x14ac:dyDescent="0.15">
      <c r="A38" s="2" t="s">
        <v>85</v>
      </c>
      <c r="B38" s="2" t="s">
        <v>30</v>
      </c>
      <c r="C38" s="2">
        <v>0</v>
      </c>
      <c r="D38" s="2">
        <v>0</v>
      </c>
      <c r="E38" s="2">
        <v>0</v>
      </c>
      <c r="F38" s="4">
        <v>2.29</v>
      </c>
      <c r="G38" s="2">
        <v>0</v>
      </c>
      <c r="H38" s="2">
        <v>308.88877839999998</v>
      </c>
      <c r="I38" s="2">
        <v>0</v>
      </c>
    </row>
    <row r="39" spans="1:9" ht="15.75" customHeight="1" x14ac:dyDescent="0.15">
      <c r="A39" s="2" t="s">
        <v>85</v>
      </c>
      <c r="B39" s="2" t="s">
        <v>32</v>
      </c>
      <c r="C39" s="2">
        <v>123</v>
      </c>
      <c r="D39" s="2">
        <v>8.6943576688097526E+18</v>
      </c>
      <c r="E39" s="2">
        <v>8.6943576688097522E-3</v>
      </c>
      <c r="F39" s="4">
        <v>3.3299999999999996</v>
      </c>
      <c r="G39" s="2">
        <v>2.8952211037136473E-2</v>
      </c>
      <c r="H39" s="2">
        <v>67.974083140000005</v>
      </c>
      <c r="I39" s="2">
        <v>1.9680000001251403</v>
      </c>
    </row>
    <row r="40" spans="1:9" ht="15.75" customHeight="1" x14ac:dyDescent="0.15">
      <c r="A40" s="2" t="s">
        <v>85</v>
      </c>
      <c r="B40" s="2" t="s">
        <v>36</v>
      </c>
      <c r="C40" s="2">
        <v>244</v>
      </c>
      <c r="D40" s="2">
        <v>1.7247343668207964E+19</v>
      </c>
      <c r="E40" s="2">
        <v>1.7247343668207963E-2</v>
      </c>
      <c r="F40" s="4">
        <v>3.17</v>
      </c>
      <c r="G40" s="2">
        <v>5.4674079428219238E-2</v>
      </c>
      <c r="H40" s="2">
        <v>64.572054300000005</v>
      </c>
      <c r="I40" s="2">
        <v>3.5304176256414861</v>
      </c>
    </row>
    <row r="41" spans="1:9" ht="15.75" customHeight="1" x14ac:dyDescent="0.15">
      <c r="A41" s="2" t="s">
        <v>85</v>
      </c>
      <c r="B41" s="2" t="s">
        <v>38</v>
      </c>
      <c r="C41" s="2">
        <v>3809</v>
      </c>
      <c r="D41" s="2">
        <v>2.6924234439427922E+20</v>
      </c>
      <c r="E41" s="2">
        <v>0.26924234439427924</v>
      </c>
      <c r="F41" s="4">
        <v>2.13</v>
      </c>
      <c r="G41" s="2">
        <v>0.57348619355981478</v>
      </c>
      <c r="H41" s="2">
        <v>2.0464638869999998</v>
      </c>
      <c r="I41" s="2">
        <v>1.1736187848132529</v>
      </c>
    </row>
    <row r="42" spans="1:9" ht="15.75" customHeight="1" x14ac:dyDescent="0.15">
      <c r="A42" s="2" t="s">
        <v>85</v>
      </c>
      <c r="B42" s="2" t="s">
        <v>40</v>
      </c>
      <c r="C42" s="2">
        <v>0</v>
      </c>
      <c r="D42" s="2">
        <v>0</v>
      </c>
      <c r="E42" s="2">
        <v>0</v>
      </c>
      <c r="F42" s="2">
        <v>2</v>
      </c>
      <c r="G42" s="2">
        <v>0</v>
      </c>
      <c r="H42" s="2">
        <v>2</v>
      </c>
      <c r="I42" s="2">
        <v>0</v>
      </c>
    </row>
    <row r="43" spans="1:9" ht="15.75" customHeight="1" x14ac:dyDescent="0.15">
      <c r="A43" s="2" t="s">
        <v>85</v>
      </c>
      <c r="B43" s="2" t="s">
        <v>42</v>
      </c>
      <c r="C43" s="2">
        <v>9.6</v>
      </c>
      <c r="D43" s="2">
        <v>6.7858401317539533E+17</v>
      </c>
      <c r="E43" s="2">
        <v>6.7858401317539532E-4</v>
      </c>
      <c r="F43" s="4">
        <v>2.81</v>
      </c>
      <c r="G43" s="2">
        <v>1.9068210770228609E-3</v>
      </c>
      <c r="H43" s="2">
        <v>37.870563869999998</v>
      </c>
      <c r="I43" s="2">
        <v>7.2212389386056439E-2</v>
      </c>
    </row>
    <row r="44" spans="1:9" ht="15.75" customHeight="1" x14ac:dyDescent="0.15">
      <c r="A44" s="2" t="s">
        <v>85</v>
      </c>
      <c r="B44" s="2" t="s">
        <v>44</v>
      </c>
      <c r="C44" s="2">
        <v>18.333333333333332</v>
      </c>
      <c r="D44" s="2">
        <v>1.2959069696057897E+18</v>
      </c>
      <c r="E44" s="2">
        <v>1.2959069696057896E-3</v>
      </c>
      <c r="F44" s="2">
        <v>16.7</v>
      </c>
      <c r="G44" s="2">
        <v>2.1641646392416686E-2</v>
      </c>
      <c r="H44" s="2">
        <v>170.8356</v>
      </c>
      <c r="I44" s="2">
        <v>3.6971636464363402</v>
      </c>
    </row>
    <row r="45" spans="1:9" ht="15.75" customHeight="1" x14ac:dyDescent="0.15">
      <c r="A45" s="2" t="s">
        <v>85</v>
      </c>
      <c r="B45" s="2" t="s">
        <v>46</v>
      </c>
      <c r="C45" s="2">
        <v>18.333333333333332</v>
      </c>
      <c r="D45" s="2">
        <v>1.2959069696057897E+18</v>
      </c>
      <c r="E45" s="2">
        <v>1.2959069696057896E-3</v>
      </c>
      <c r="F45" s="4">
        <v>13.699999999999998</v>
      </c>
      <c r="G45" s="2">
        <v>1.7753925483599314E-2</v>
      </c>
      <c r="H45" s="2">
        <v>25.81588696</v>
      </c>
      <c r="I45" s="2">
        <v>0.45833333338086324</v>
      </c>
    </row>
    <row r="46" spans="1:9" ht="15.75" customHeight="1" x14ac:dyDescent="0.15">
      <c r="A46" s="2" t="s">
        <v>85</v>
      </c>
      <c r="B46" s="2" t="s">
        <v>48</v>
      </c>
      <c r="C46" s="2">
        <v>0</v>
      </c>
      <c r="D46" s="2">
        <v>0</v>
      </c>
      <c r="E46" s="2">
        <v>0</v>
      </c>
      <c r="F46" s="4">
        <v>0.93999999999999984</v>
      </c>
      <c r="G46" s="2">
        <v>0</v>
      </c>
      <c r="H46" s="2">
        <v>2.8595214360000001</v>
      </c>
      <c r="I46" s="2">
        <v>0</v>
      </c>
    </row>
    <row r="47" spans="1:9" ht="15.75" customHeight="1" x14ac:dyDescent="0.15">
      <c r="A47" s="2" t="s">
        <v>85</v>
      </c>
      <c r="B47" s="2" t="s">
        <v>50</v>
      </c>
      <c r="C47" s="2">
        <v>0</v>
      </c>
      <c r="D47" s="2">
        <v>0</v>
      </c>
      <c r="E47" s="2">
        <v>0</v>
      </c>
      <c r="F47" s="4">
        <v>4.5</v>
      </c>
      <c r="G47" s="2">
        <v>0</v>
      </c>
      <c r="H47" s="2">
        <v>47.633353710000002</v>
      </c>
      <c r="I47" s="2">
        <v>0</v>
      </c>
    </row>
    <row r="48" spans="1:9" ht="15.75" customHeight="1" x14ac:dyDescent="0.15">
      <c r="A48" s="2" t="s">
        <v>85</v>
      </c>
      <c r="B48" s="2" t="s">
        <v>52</v>
      </c>
      <c r="C48" s="2">
        <v>24</v>
      </c>
      <c r="D48" s="2">
        <v>1.6964600329384883E+18</v>
      </c>
      <c r="E48" s="2">
        <v>1.6964600329384884E-3</v>
      </c>
      <c r="F48" s="4">
        <v>5.2099999999999991</v>
      </c>
      <c r="G48" s="2">
        <v>8.8385567716095237E-3</v>
      </c>
      <c r="H48" s="2">
        <v>43.977832020000001</v>
      </c>
      <c r="I48" s="2">
        <v>0.38870056500107714</v>
      </c>
    </row>
    <row r="49" spans="1:9" ht="15.75" customHeight="1" x14ac:dyDescent="0.15">
      <c r="A49" s="2" t="s">
        <v>85</v>
      </c>
      <c r="B49" s="2" t="s">
        <v>56</v>
      </c>
      <c r="C49" s="2">
        <v>500</v>
      </c>
      <c r="D49" s="2">
        <v>3.534291735288517E+19</v>
      </c>
      <c r="E49" s="2">
        <v>3.5342917352885167E-2</v>
      </c>
      <c r="F49" s="4">
        <v>19.3</v>
      </c>
      <c r="G49" s="2">
        <v>0.6821183049106837</v>
      </c>
      <c r="H49" s="2">
        <v>75.814931139999999</v>
      </c>
      <c r="I49" s="2">
        <v>51.714752316137009</v>
      </c>
    </row>
    <row r="50" spans="1:9" ht="15.75" customHeight="1" x14ac:dyDescent="0.15">
      <c r="A50" s="2" t="s">
        <v>85</v>
      </c>
      <c r="B50" s="2" t="s">
        <v>60</v>
      </c>
      <c r="C50" s="2">
        <v>0</v>
      </c>
      <c r="D50" s="2">
        <v>0</v>
      </c>
      <c r="E50" s="2">
        <v>0</v>
      </c>
      <c r="F50" s="2">
        <v>4.8149999999999995</v>
      </c>
      <c r="G50" s="2">
        <v>0</v>
      </c>
      <c r="H50" s="2">
        <v>1065.070666154757</v>
      </c>
      <c r="I50" s="2">
        <v>0</v>
      </c>
    </row>
    <row r="51" spans="1:9" ht="13" x14ac:dyDescent="0.15">
      <c r="A51" s="2" t="s">
        <v>85</v>
      </c>
      <c r="B51" s="2" t="s">
        <v>62</v>
      </c>
      <c r="C51" s="2">
        <v>0</v>
      </c>
      <c r="D51" s="2">
        <v>0</v>
      </c>
      <c r="E51" s="2">
        <v>0</v>
      </c>
      <c r="F51" s="2">
        <v>6.44</v>
      </c>
      <c r="G51" s="2">
        <v>0</v>
      </c>
      <c r="H51" s="2">
        <v>1008.6373963173792</v>
      </c>
      <c r="I51" s="2">
        <v>0</v>
      </c>
    </row>
    <row r="52" spans="1:9" ht="13" x14ac:dyDescent="0.15">
      <c r="A52" s="2" t="s">
        <v>85</v>
      </c>
      <c r="B52" s="2" t="s">
        <v>64</v>
      </c>
      <c r="C52" s="2">
        <v>0</v>
      </c>
      <c r="D52" s="2">
        <v>0</v>
      </c>
      <c r="E52" s="2">
        <v>0</v>
      </c>
      <c r="F52" s="2">
        <v>7.6849999999999996</v>
      </c>
      <c r="G52" s="2">
        <v>0</v>
      </c>
      <c r="H52" s="2">
        <v>1015.9485375966532</v>
      </c>
      <c r="I52" s="2">
        <v>0</v>
      </c>
    </row>
    <row r="53" spans="1:9" ht="13" x14ac:dyDescent="0.15">
      <c r="A53" s="2" t="s">
        <v>86</v>
      </c>
      <c r="B53" s="2" t="s">
        <v>2</v>
      </c>
      <c r="C53" s="2">
        <v>0</v>
      </c>
      <c r="D53" s="2">
        <v>0</v>
      </c>
      <c r="E53" s="2">
        <v>0</v>
      </c>
      <c r="F53" s="4">
        <v>1.9999999999999998</v>
      </c>
      <c r="G53" s="2">
        <v>0</v>
      </c>
      <c r="H53" s="2">
        <v>254.6479089</v>
      </c>
      <c r="I53" s="2">
        <v>0</v>
      </c>
    </row>
    <row r="54" spans="1:9" ht="13" x14ac:dyDescent="0.15">
      <c r="A54" s="2" t="s">
        <v>86</v>
      </c>
      <c r="B54" s="2" t="s">
        <v>4</v>
      </c>
      <c r="C54" s="2">
        <v>0</v>
      </c>
      <c r="D54" s="2">
        <v>0</v>
      </c>
      <c r="E54" s="2">
        <v>0</v>
      </c>
      <c r="F54" s="4">
        <v>2.7</v>
      </c>
      <c r="G54" s="2">
        <v>0</v>
      </c>
      <c r="H54" s="2">
        <v>10.72688123</v>
      </c>
      <c r="I54" s="2">
        <v>0</v>
      </c>
    </row>
    <row r="55" spans="1:9" ht="13" x14ac:dyDescent="0.15">
      <c r="A55" s="2" t="s">
        <v>86</v>
      </c>
      <c r="B55" s="2" t="s">
        <v>6</v>
      </c>
      <c r="C55" s="2">
        <v>0</v>
      </c>
      <c r="D55" s="2">
        <v>0</v>
      </c>
      <c r="E55" s="2">
        <v>0</v>
      </c>
      <c r="F55" s="2">
        <v>2.78</v>
      </c>
      <c r="G55" s="2">
        <v>0</v>
      </c>
      <c r="H55" s="2">
        <v>8.4084969239999996</v>
      </c>
      <c r="I55" s="2">
        <v>0</v>
      </c>
    </row>
    <row r="56" spans="1:9" ht="13" x14ac:dyDescent="0.15">
      <c r="A56" s="2" t="s">
        <v>86</v>
      </c>
      <c r="B56" s="2" t="s">
        <v>12</v>
      </c>
      <c r="C56" s="2">
        <v>2</v>
      </c>
      <c r="D56" s="2">
        <v>1.4137166941154069E+17</v>
      </c>
      <c r="E56" s="2">
        <v>1.4137166941154068E-4</v>
      </c>
      <c r="F56" s="4">
        <v>8.9</v>
      </c>
      <c r="G56" s="2">
        <v>1.2582078577627121E-3</v>
      </c>
      <c r="H56" s="2">
        <v>44.500045125910397</v>
      </c>
      <c r="I56" s="2">
        <v>5.5990306448215739E-2</v>
      </c>
    </row>
    <row r="57" spans="1:9" ht="13" x14ac:dyDescent="0.15">
      <c r="A57" s="2" t="s">
        <v>86</v>
      </c>
      <c r="B57" s="2" t="s">
        <v>74</v>
      </c>
      <c r="C57" s="2">
        <v>0</v>
      </c>
      <c r="D57" s="2">
        <v>0</v>
      </c>
      <c r="E57" s="2">
        <v>0</v>
      </c>
      <c r="F57" s="4">
        <v>2.2000000000000002</v>
      </c>
      <c r="G57" s="2">
        <v>0</v>
      </c>
      <c r="H57" s="2">
        <v>13.98634348</v>
      </c>
      <c r="I57" s="2">
        <v>0</v>
      </c>
    </row>
    <row r="58" spans="1:9" ht="13" x14ac:dyDescent="0.15">
      <c r="A58" s="2" t="s">
        <v>86</v>
      </c>
      <c r="B58" s="2" t="s">
        <v>75</v>
      </c>
      <c r="C58" s="2">
        <v>340</v>
      </c>
      <c r="D58" s="2">
        <v>2.4033183799961919E+19</v>
      </c>
      <c r="E58" s="2">
        <v>2.4033183799961919E-2</v>
      </c>
      <c r="F58" s="4">
        <v>8.9599999999999991</v>
      </c>
      <c r="G58" s="2">
        <v>0.21533732684765877</v>
      </c>
      <c r="H58" s="2">
        <v>6.090112618</v>
      </c>
      <c r="I58" s="2">
        <v>1.311428571361317</v>
      </c>
    </row>
    <row r="59" spans="1:9" ht="13" x14ac:dyDescent="0.15">
      <c r="A59" s="2" t="s">
        <v>86</v>
      </c>
      <c r="B59" s="2" t="s">
        <v>82</v>
      </c>
      <c r="C59" s="2">
        <v>0</v>
      </c>
      <c r="D59" s="2">
        <v>0</v>
      </c>
      <c r="E59" s="2">
        <v>0</v>
      </c>
      <c r="F59" s="2">
        <v>9.69</v>
      </c>
      <c r="G59" s="2">
        <v>0</v>
      </c>
      <c r="H59" s="2">
        <v>24.90282413547882</v>
      </c>
      <c r="I59" s="2">
        <v>0</v>
      </c>
    </row>
    <row r="60" spans="1:9" ht="13" x14ac:dyDescent="0.15">
      <c r="A60" s="2" t="s">
        <v>86</v>
      </c>
      <c r="B60" s="2" t="s">
        <v>22</v>
      </c>
      <c r="C60" s="2">
        <v>0</v>
      </c>
      <c r="D60" s="2">
        <v>0</v>
      </c>
      <c r="E60" s="2">
        <v>0</v>
      </c>
      <c r="F60" s="2">
        <v>18.63</v>
      </c>
      <c r="G60" s="2">
        <v>0</v>
      </c>
      <c r="H60" s="2">
        <v>19053.34</v>
      </c>
      <c r="I60" s="2">
        <v>0</v>
      </c>
    </row>
    <row r="61" spans="1:9" ht="13" x14ac:dyDescent="0.15">
      <c r="A61" s="2" t="s">
        <v>86</v>
      </c>
      <c r="B61" s="2" t="s">
        <v>84</v>
      </c>
      <c r="C61" s="2">
        <v>0</v>
      </c>
      <c r="D61" s="2">
        <v>0</v>
      </c>
      <c r="E61" s="2">
        <v>0</v>
      </c>
      <c r="F61" s="4">
        <v>2.33</v>
      </c>
      <c r="G61" s="2">
        <v>0</v>
      </c>
      <c r="H61" s="2">
        <v>4.1309515379999997</v>
      </c>
      <c r="I61" s="2">
        <v>0</v>
      </c>
    </row>
    <row r="62" spans="1:9" ht="13" x14ac:dyDescent="0.15">
      <c r="A62" s="2" t="s">
        <v>86</v>
      </c>
      <c r="B62" s="2" t="s">
        <v>28</v>
      </c>
      <c r="C62" s="2">
        <v>1000</v>
      </c>
      <c r="D62" s="2">
        <v>7.068583470577034E+19</v>
      </c>
      <c r="E62" s="2">
        <v>7.0685834705770334E-2</v>
      </c>
      <c r="F62" s="4">
        <v>0.96599999999999986</v>
      </c>
      <c r="G62" s="2">
        <v>6.8282516325774131E-2</v>
      </c>
      <c r="H62" s="2">
        <v>4.2</v>
      </c>
      <c r="I62" s="2">
        <v>0.28678656856825135</v>
      </c>
    </row>
    <row r="63" spans="1:9" ht="13" x14ac:dyDescent="0.15">
      <c r="A63" s="2" t="s">
        <v>86</v>
      </c>
      <c r="B63" s="2" t="s">
        <v>30</v>
      </c>
      <c r="C63" s="2">
        <v>0</v>
      </c>
      <c r="D63" s="2">
        <v>0</v>
      </c>
      <c r="E63" s="2">
        <v>0</v>
      </c>
      <c r="F63" s="4">
        <v>2.29</v>
      </c>
      <c r="G63" s="2">
        <v>0</v>
      </c>
      <c r="H63" s="2">
        <v>308.88877839999998</v>
      </c>
      <c r="I63" s="2">
        <v>0</v>
      </c>
    </row>
    <row r="64" spans="1:9" ht="13" x14ac:dyDescent="0.15">
      <c r="A64" s="2" t="s">
        <v>86</v>
      </c>
      <c r="B64" s="2" t="s">
        <v>32</v>
      </c>
      <c r="C64" s="2">
        <v>0</v>
      </c>
      <c r="D64" s="2">
        <v>0</v>
      </c>
      <c r="E64" s="2">
        <v>0</v>
      </c>
      <c r="F64" s="4">
        <v>3.3299999999999996</v>
      </c>
      <c r="G64" s="2">
        <v>0</v>
      </c>
      <c r="H64" s="2">
        <v>67.974083140000005</v>
      </c>
      <c r="I64" s="2">
        <v>0</v>
      </c>
    </row>
    <row r="65" spans="1:9" ht="13" x14ac:dyDescent="0.15">
      <c r="A65" s="2" t="s">
        <v>86</v>
      </c>
      <c r="B65" s="2" t="s">
        <v>36</v>
      </c>
      <c r="C65" s="2">
        <v>0</v>
      </c>
      <c r="D65" s="2">
        <v>0</v>
      </c>
      <c r="E65" s="2">
        <v>0</v>
      </c>
      <c r="F65" s="4">
        <v>3.17</v>
      </c>
      <c r="G65" s="2">
        <v>0</v>
      </c>
      <c r="H65" s="2">
        <v>64.572054300000005</v>
      </c>
      <c r="I65" s="2">
        <v>0</v>
      </c>
    </row>
    <row r="66" spans="1:9" ht="13" x14ac:dyDescent="0.15">
      <c r="A66" s="2" t="s">
        <v>86</v>
      </c>
      <c r="B66" s="2" t="s">
        <v>38</v>
      </c>
      <c r="C66" s="2">
        <v>10</v>
      </c>
      <c r="D66" s="2">
        <v>7.0685834705770342E+17</v>
      </c>
      <c r="E66" s="2">
        <v>7.0685834705770342E-4</v>
      </c>
      <c r="F66" s="4">
        <v>2.13</v>
      </c>
      <c r="G66" s="2">
        <v>1.5056082792329081E-3</v>
      </c>
      <c r="H66" s="2">
        <v>2.0464638869999998</v>
      </c>
      <c r="I66" s="2">
        <v>3.0811729714183582E-3</v>
      </c>
    </row>
    <row r="67" spans="1:9" ht="13" x14ac:dyDescent="0.15">
      <c r="A67" s="2" t="s">
        <v>86</v>
      </c>
      <c r="B67" s="2" t="s">
        <v>40</v>
      </c>
      <c r="C67" s="2">
        <v>300</v>
      </c>
      <c r="D67" s="2">
        <v>2.1205750411731104E+19</v>
      </c>
      <c r="E67" s="2">
        <v>2.1205750411731103E-2</v>
      </c>
      <c r="F67" s="2">
        <v>2</v>
      </c>
      <c r="G67" s="2">
        <v>4.2411500823462206E-2</v>
      </c>
      <c r="H67" s="2">
        <v>2</v>
      </c>
      <c r="I67" s="2">
        <v>8.4823001646924412E-2</v>
      </c>
    </row>
    <row r="68" spans="1:9" ht="13" x14ac:dyDescent="0.15">
      <c r="A68" s="2" t="s">
        <v>86</v>
      </c>
      <c r="B68" s="2" t="s">
        <v>42</v>
      </c>
      <c r="C68" s="2">
        <v>0</v>
      </c>
      <c r="D68" s="2">
        <v>0</v>
      </c>
      <c r="E68" s="2">
        <v>0</v>
      </c>
      <c r="F68" s="4">
        <v>2.81</v>
      </c>
      <c r="G68" s="2">
        <v>0</v>
      </c>
      <c r="H68" s="2">
        <v>37.870563869999998</v>
      </c>
      <c r="I68" s="2">
        <v>0</v>
      </c>
    </row>
    <row r="69" spans="1:9" ht="13" x14ac:dyDescent="0.15">
      <c r="A69" s="2" t="s">
        <v>86</v>
      </c>
      <c r="B69" s="2" t="s">
        <v>44</v>
      </c>
      <c r="C69" s="2">
        <v>15</v>
      </c>
      <c r="D69" s="2">
        <v>1.0602875205865551E+18</v>
      </c>
      <c r="E69" s="2">
        <v>1.0602875205865552E-3</v>
      </c>
      <c r="F69" s="2">
        <v>16.7</v>
      </c>
      <c r="G69" s="2">
        <v>1.7706801593795472E-2</v>
      </c>
      <c r="H69" s="2">
        <v>170.8356</v>
      </c>
      <c r="I69" s="2">
        <v>3.0249520743570057</v>
      </c>
    </row>
    <row r="70" spans="1:9" ht="13" x14ac:dyDescent="0.15">
      <c r="A70" s="2" t="s">
        <v>86</v>
      </c>
      <c r="B70" s="2" t="s">
        <v>46</v>
      </c>
      <c r="C70" s="2">
        <v>15</v>
      </c>
      <c r="D70" s="2">
        <v>1.0602875205865551E+18</v>
      </c>
      <c r="E70" s="2">
        <v>1.0602875205865552E-3</v>
      </c>
      <c r="F70" s="4">
        <v>13.699999999999998</v>
      </c>
      <c r="G70" s="2">
        <v>1.4525939032035804E-2</v>
      </c>
      <c r="H70" s="2">
        <v>25.81588696</v>
      </c>
      <c r="I70" s="2">
        <v>0.37500000003888817</v>
      </c>
    </row>
    <row r="71" spans="1:9" ht="13" x14ac:dyDescent="0.15">
      <c r="A71" s="2" t="s">
        <v>86</v>
      </c>
      <c r="B71" s="2" t="s">
        <v>48</v>
      </c>
      <c r="C71" s="2">
        <v>0</v>
      </c>
      <c r="D71" s="2">
        <v>0</v>
      </c>
      <c r="E71" s="2">
        <v>0</v>
      </c>
      <c r="F71" s="4">
        <v>0.93999999999999984</v>
      </c>
      <c r="G71" s="2">
        <v>0</v>
      </c>
      <c r="H71" s="2">
        <v>2.8595214360000001</v>
      </c>
      <c r="I71" s="2">
        <v>0</v>
      </c>
    </row>
    <row r="72" spans="1:9" ht="13" x14ac:dyDescent="0.15">
      <c r="A72" s="2" t="s">
        <v>86</v>
      </c>
      <c r="B72" s="2" t="s">
        <v>50</v>
      </c>
      <c r="C72" s="2">
        <v>0</v>
      </c>
      <c r="D72" s="2">
        <v>0</v>
      </c>
      <c r="E72" s="2">
        <v>0</v>
      </c>
      <c r="F72" s="4">
        <v>4.5</v>
      </c>
      <c r="G72" s="2">
        <v>0</v>
      </c>
      <c r="H72" s="2">
        <v>47.633353710000002</v>
      </c>
      <c r="I72" s="2">
        <v>0</v>
      </c>
    </row>
    <row r="73" spans="1:9" ht="13" x14ac:dyDescent="0.15">
      <c r="A73" s="2" t="s">
        <v>86</v>
      </c>
      <c r="B73" s="2" t="s">
        <v>52</v>
      </c>
      <c r="C73" s="2">
        <v>0</v>
      </c>
      <c r="D73" s="2">
        <v>0</v>
      </c>
      <c r="E73" s="2">
        <v>0</v>
      </c>
      <c r="F73" s="4">
        <v>5.2099999999999991</v>
      </c>
      <c r="G73" s="2">
        <v>0</v>
      </c>
      <c r="H73" s="2">
        <v>43.977832020000001</v>
      </c>
      <c r="I73" s="2">
        <v>0</v>
      </c>
    </row>
    <row r="74" spans="1:9" ht="13" x14ac:dyDescent="0.15">
      <c r="A74" s="2" t="s">
        <v>86</v>
      </c>
      <c r="B74" s="2" t="s">
        <v>56</v>
      </c>
      <c r="C74" s="2">
        <v>0</v>
      </c>
      <c r="D74" s="2">
        <v>0</v>
      </c>
      <c r="E74" s="2">
        <v>0</v>
      </c>
      <c r="F74" s="4">
        <v>19.3</v>
      </c>
      <c r="G74" s="2">
        <v>0</v>
      </c>
      <c r="H74" s="2">
        <v>75.814931139999999</v>
      </c>
      <c r="I74" s="2">
        <v>0</v>
      </c>
    </row>
    <row r="75" spans="1:9" ht="13" x14ac:dyDescent="0.15">
      <c r="A75" s="2" t="s">
        <v>86</v>
      </c>
      <c r="B75" s="2" t="s">
        <v>58</v>
      </c>
      <c r="C75" s="2">
        <v>0</v>
      </c>
      <c r="F75" s="4" t="s">
        <v>77</v>
      </c>
      <c r="H75" s="2">
        <v>365.30540000000002</v>
      </c>
      <c r="I75" s="2">
        <v>51643.834243050638</v>
      </c>
    </row>
    <row r="76" spans="1:9" ht="13" x14ac:dyDescent="0.15">
      <c r="A76" s="2" t="s">
        <v>86</v>
      </c>
      <c r="B76" s="2" t="s">
        <v>60</v>
      </c>
      <c r="C76" s="2">
        <v>0</v>
      </c>
      <c r="D76" s="2">
        <v>0</v>
      </c>
      <c r="E76" s="2">
        <v>0</v>
      </c>
      <c r="F76" s="2">
        <v>4.8149999999999995</v>
      </c>
      <c r="G76" s="2">
        <v>0</v>
      </c>
      <c r="H76" s="2">
        <v>1065.070666154757</v>
      </c>
      <c r="I76" s="2">
        <v>0</v>
      </c>
    </row>
    <row r="77" spans="1:9" ht="13" x14ac:dyDescent="0.15">
      <c r="A77" s="2" t="s">
        <v>86</v>
      </c>
      <c r="B77" s="2" t="s">
        <v>62</v>
      </c>
      <c r="C77" s="2">
        <v>0</v>
      </c>
      <c r="D77" s="2">
        <v>0</v>
      </c>
      <c r="E77" s="2">
        <v>0</v>
      </c>
      <c r="F77" s="2">
        <v>6.44</v>
      </c>
      <c r="G77" s="2">
        <v>0</v>
      </c>
      <c r="H77" s="2">
        <v>1008.6373963173792</v>
      </c>
      <c r="I77" s="2">
        <v>0</v>
      </c>
    </row>
    <row r="78" spans="1:9" ht="13" x14ac:dyDescent="0.15">
      <c r="A78" s="2" t="s">
        <v>86</v>
      </c>
      <c r="B78" s="2" t="s">
        <v>64</v>
      </c>
      <c r="C78" s="2">
        <v>0</v>
      </c>
      <c r="D78" s="2">
        <v>0</v>
      </c>
      <c r="E78" s="2">
        <v>0</v>
      </c>
      <c r="F78" s="2">
        <v>7.6849999999999996</v>
      </c>
      <c r="G78" s="2">
        <v>0</v>
      </c>
      <c r="H78" s="2">
        <v>1015.9485375966532</v>
      </c>
      <c r="I78" s="2">
        <v>0</v>
      </c>
    </row>
    <row r="80" spans="1:9" ht="13" x14ac:dyDescent="0.15">
      <c r="H80" s="3" t="s">
        <v>78</v>
      </c>
      <c r="I80" s="2">
        <v>853.72607723330293</v>
      </c>
    </row>
    <row r="81" spans="8:8" ht="13" x14ac:dyDescent="0.15">
      <c r="H81" s="3" t="s">
        <v>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I75"/>
  <sheetViews>
    <sheetView workbookViewId="0"/>
  </sheetViews>
  <sheetFormatPr baseColWidth="10" defaultColWidth="12.6640625" defaultRowHeight="15.75" customHeight="1" x14ac:dyDescent="0.15"/>
  <sheetData>
    <row r="1" spans="1:9" ht="15.75" customHeight="1" x14ac:dyDescent="0.15">
      <c r="A1" s="2" t="s">
        <v>58</v>
      </c>
      <c r="B1" s="2" t="s">
        <v>66</v>
      </c>
      <c r="C1" s="2" t="s">
        <v>81</v>
      </c>
      <c r="D1" s="2" t="s">
        <v>68</v>
      </c>
      <c r="E1" s="2" t="s">
        <v>69</v>
      </c>
      <c r="F1" s="2" t="s">
        <v>70</v>
      </c>
      <c r="G1" s="2" t="s">
        <v>71</v>
      </c>
      <c r="H1" s="2" t="s">
        <v>80</v>
      </c>
      <c r="I1" s="2" t="s">
        <v>73</v>
      </c>
    </row>
    <row r="2" spans="1:9" ht="15.75" customHeight="1" x14ac:dyDescent="0.15">
      <c r="A2" s="2" t="s">
        <v>83</v>
      </c>
      <c r="B2" s="2" t="s">
        <v>4</v>
      </c>
      <c r="C2" s="2">
        <v>4745</v>
      </c>
      <c r="D2" s="2">
        <v>3.3540428567888029E+20</v>
      </c>
      <c r="E2" s="2">
        <v>0.33540428567888031</v>
      </c>
      <c r="F2" s="4">
        <v>2.7</v>
      </c>
      <c r="G2" s="2">
        <v>0.90559157133297685</v>
      </c>
      <c r="H2" s="2">
        <v>10.72688123</v>
      </c>
      <c r="I2" s="2">
        <v>9.7141732285779163</v>
      </c>
    </row>
    <row r="3" spans="1:9" ht="15.75" customHeight="1" x14ac:dyDescent="0.15">
      <c r="A3" s="2" t="s">
        <v>83</v>
      </c>
      <c r="B3" s="2" t="s">
        <v>8</v>
      </c>
      <c r="C3" s="2">
        <v>3250</v>
      </c>
      <c r="D3" s="2">
        <v>2.2972896279375364E+20</v>
      </c>
      <c r="E3" s="2">
        <v>0.22972896279375363</v>
      </c>
      <c r="F3" s="2">
        <v>2.2999999999999998</v>
      </c>
      <c r="G3" s="2">
        <v>0.52837661442563333</v>
      </c>
      <c r="H3" s="2">
        <v>308.88877839999998</v>
      </c>
      <c r="I3" s="2">
        <v>163.20960696506168</v>
      </c>
    </row>
    <row r="4" spans="1:9" ht="15.75" customHeight="1" x14ac:dyDescent="0.15">
      <c r="A4" s="2" t="s">
        <v>83</v>
      </c>
      <c r="B4" s="2" t="s">
        <v>87</v>
      </c>
      <c r="C4" s="2">
        <v>6000</v>
      </c>
      <c r="D4" s="2">
        <v>4.2411500823462209E+20</v>
      </c>
      <c r="E4" s="2">
        <v>0.42411500823462212</v>
      </c>
      <c r="F4" s="4">
        <v>2.2000000000000002</v>
      </c>
      <c r="G4" s="2">
        <v>0.9330530181161687</v>
      </c>
      <c r="H4" s="2">
        <v>13.98634348</v>
      </c>
      <c r="I4" s="2">
        <v>13.049999996423399</v>
      </c>
    </row>
    <row r="5" spans="1:9" ht="15.75" customHeight="1" x14ac:dyDescent="0.15">
      <c r="A5" s="2" t="s">
        <v>83</v>
      </c>
      <c r="B5" s="2" t="s">
        <v>12</v>
      </c>
      <c r="C5" s="2">
        <v>7.5</v>
      </c>
      <c r="D5" s="2">
        <v>5.3014376029327757E+17</v>
      </c>
      <c r="E5" s="2">
        <v>5.3014376029327762E-4</v>
      </c>
      <c r="F5" s="2">
        <v>8.9</v>
      </c>
      <c r="G5" s="2">
        <v>4.7182794666101712E-3</v>
      </c>
      <c r="H5" s="2">
        <v>44.500045125910397</v>
      </c>
      <c r="I5" s="2">
        <v>0.20996364918080906</v>
      </c>
    </row>
    <row r="6" spans="1:9" ht="15.75" customHeight="1" x14ac:dyDescent="0.15">
      <c r="A6" s="2" t="s">
        <v>83</v>
      </c>
      <c r="B6" s="2" t="s">
        <v>75</v>
      </c>
      <c r="C6" s="2">
        <v>550</v>
      </c>
      <c r="D6" s="2">
        <v>3.8877209088173695E+19</v>
      </c>
      <c r="E6" s="2">
        <v>3.8877209088173693E-2</v>
      </c>
      <c r="F6" s="2">
        <v>8.9600000000000009</v>
      </c>
      <c r="G6" s="2">
        <v>0.34833979343003635</v>
      </c>
      <c r="H6" s="2">
        <v>6.090112618</v>
      </c>
      <c r="I6" s="2">
        <v>2.121428571319778</v>
      </c>
    </row>
    <row r="7" spans="1:9" ht="15.75" customHeight="1" x14ac:dyDescent="0.15">
      <c r="A7" s="2" t="s">
        <v>83</v>
      </c>
      <c r="B7" s="2" t="s">
        <v>88</v>
      </c>
      <c r="C7" s="2">
        <v>110</v>
      </c>
      <c r="D7" s="2">
        <v>7.7754418176347382E+18</v>
      </c>
      <c r="E7" s="2">
        <v>7.7754418176347378E-3</v>
      </c>
      <c r="F7" s="2">
        <v>9.69</v>
      </c>
      <c r="G7" s="2">
        <v>7.5344031212880608E-2</v>
      </c>
      <c r="H7" s="2">
        <v>24.90282413547882</v>
      </c>
      <c r="I7" s="2">
        <v>1.8762791589523928</v>
      </c>
    </row>
    <row r="8" spans="1:9" ht="15.75" customHeight="1" x14ac:dyDescent="0.15">
      <c r="A8" s="2" t="s">
        <v>83</v>
      </c>
      <c r="B8" s="2" t="s">
        <v>26</v>
      </c>
      <c r="C8" s="2">
        <v>5</v>
      </c>
      <c r="D8" s="2">
        <v>3.5342917352885171E+17</v>
      </c>
      <c r="E8" s="2">
        <v>3.5342917352885171E-4</v>
      </c>
      <c r="F8" s="2">
        <v>2.5</v>
      </c>
      <c r="G8" s="2">
        <v>8.8357293382212922E-4</v>
      </c>
      <c r="H8" s="2">
        <v>43.915955711862061</v>
      </c>
      <c r="I8" s="2">
        <v>3.8802949829932654E-2</v>
      </c>
    </row>
    <row r="9" spans="1:9" ht="15.75" customHeight="1" x14ac:dyDescent="0.15">
      <c r="A9" s="2" t="s">
        <v>83</v>
      </c>
      <c r="B9" s="2" t="s">
        <v>28</v>
      </c>
      <c r="C9" s="2">
        <v>39500</v>
      </c>
      <c r="D9" s="2">
        <v>2.7920904708779289E+21</v>
      </c>
      <c r="E9" s="2">
        <v>2.7920904708779291</v>
      </c>
      <c r="F9" s="2">
        <v>0.97</v>
      </c>
      <c r="G9" s="2">
        <v>2.7083277567515913</v>
      </c>
      <c r="H9" s="2">
        <v>4.2</v>
      </c>
      <c r="I9" s="2">
        <v>11.374976578356684</v>
      </c>
    </row>
    <row r="10" spans="1:9" ht="15.75" customHeight="1" x14ac:dyDescent="0.15">
      <c r="A10" s="2" t="s">
        <v>83</v>
      </c>
      <c r="B10" s="2" t="s">
        <v>32</v>
      </c>
      <c r="C10" s="2">
        <v>120</v>
      </c>
      <c r="D10" s="2">
        <v>8.4823001646924411E+18</v>
      </c>
      <c r="E10" s="2">
        <v>8.4823001646924419E-3</v>
      </c>
      <c r="F10" s="2">
        <v>3.33</v>
      </c>
      <c r="G10" s="2">
        <v>2.8246059548425833E-2</v>
      </c>
      <c r="H10" s="2">
        <v>67.974083140000005</v>
      </c>
      <c r="I10" s="2">
        <v>1.9200000001220885</v>
      </c>
    </row>
    <row r="11" spans="1:9" ht="15.75" customHeight="1" x14ac:dyDescent="0.15">
      <c r="A11" s="2" t="s">
        <v>83</v>
      </c>
      <c r="B11" s="2" t="s">
        <v>34</v>
      </c>
      <c r="C11" s="2">
        <v>640</v>
      </c>
      <c r="D11" s="2">
        <v>4.5238934211693019E+19</v>
      </c>
      <c r="E11" s="2">
        <v>4.5238934211693019E-2</v>
      </c>
      <c r="F11" s="2">
        <v>3</v>
      </c>
      <c r="G11" s="2">
        <v>0.13571680263507907</v>
      </c>
      <c r="H11" s="2">
        <v>410.5865887312666</v>
      </c>
      <c r="I11" s="2">
        <v>55.723499027451687</v>
      </c>
    </row>
    <row r="12" spans="1:9" ht="15.75" customHeight="1" x14ac:dyDescent="0.15">
      <c r="A12" s="2" t="s">
        <v>83</v>
      </c>
      <c r="B12" s="2" t="s">
        <v>36</v>
      </c>
      <c r="C12" s="2">
        <v>956</v>
      </c>
      <c r="D12" s="2">
        <v>6.7575657978716447E+19</v>
      </c>
      <c r="E12" s="2">
        <v>6.7575657978716452E-2</v>
      </c>
      <c r="F12" s="2">
        <v>3.17</v>
      </c>
      <c r="G12" s="2">
        <v>0.21421483579253114</v>
      </c>
      <c r="H12" s="2">
        <v>64.572054300000005</v>
      </c>
      <c r="I12" s="2">
        <v>13.832292008660906</v>
      </c>
    </row>
    <row r="13" spans="1:9" ht="15.75" customHeight="1" x14ac:dyDescent="0.15">
      <c r="A13" s="2" t="s">
        <v>83</v>
      </c>
      <c r="B13" s="2" t="s">
        <v>38</v>
      </c>
      <c r="C13" s="2">
        <v>8963</v>
      </c>
      <c r="D13" s="2">
        <v>6.3355713646781963E+20</v>
      </c>
      <c r="E13" s="2">
        <v>0.63355713646781964</v>
      </c>
      <c r="F13" s="2">
        <v>2.13</v>
      </c>
      <c r="G13" s="2">
        <v>1.3494767006764559</v>
      </c>
      <c r="H13" s="2">
        <v>2.0464638869999998</v>
      </c>
      <c r="I13" s="2">
        <v>2.7616553342822749</v>
      </c>
    </row>
    <row r="14" spans="1:9" ht="15.75" customHeight="1" x14ac:dyDescent="0.15">
      <c r="A14" s="2" t="s">
        <v>83</v>
      </c>
      <c r="B14" s="2" t="s">
        <v>40</v>
      </c>
      <c r="C14" s="2">
        <v>882</v>
      </c>
      <c r="D14" s="2">
        <v>6.2344906210489442E+19</v>
      </c>
      <c r="E14" s="2">
        <v>6.2344906210489444E-2</v>
      </c>
      <c r="F14" s="2">
        <v>2</v>
      </c>
      <c r="G14" s="2">
        <v>0.12468981242097889</v>
      </c>
      <c r="H14" s="2">
        <v>88.012999603628515</v>
      </c>
      <c r="I14" s="2">
        <v>10.97432441118413</v>
      </c>
    </row>
    <row r="15" spans="1:9" ht="15.75" customHeight="1" x14ac:dyDescent="0.15">
      <c r="A15" s="2" t="s">
        <v>83</v>
      </c>
      <c r="B15" s="2" t="s">
        <v>42</v>
      </c>
      <c r="C15" s="2">
        <v>20</v>
      </c>
      <c r="D15" s="2">
        <v>1.4137166941154068E+18</v>
      </c>
      <c r="E15" s="2">
        <v>1.4137166941154068E-3</v>
      </c>
      <c r="F15" s="2">
        <v>2.81</v>
      </c>
      <c r="G15" s="2">
        <v>3.9725439104642936E-3</v>
      </c>
      <c r="H15" s="2">
        <v>37.870563869999998</v>
      </c>
      <c r="I15" s="2">
        <v>0.15044247788761758</v>
      </c>
    </row>
    <row r="16" spans="1:9" ht="15.75" customHeight="1" x14ac:dyDescent="0.15">
      <c r="A16" s="2" t="s">
        <v>83</v>
      </c>
      <c r="B16" s="2" t="s">
        <v>44</v>
      </c>
      <c r="C16" s="2">
        <v>45</v>
      </c>
      <c r="D16" s="2">
        <v>3.1808625617596657E+18</v>
      </c>
      <c r="E16" s="2">
        <v>3.1808625617596657E-3</v>
      </c>
      <c r="F16" s="2">
        <v>16.7</v>
      </c>
      <c r="G16" s="2">
        <v>5.3120404781386417E-2</v>
      </c>
      <c r="H16" s="2">
        <v>170.8356</v>
      </c>
      <c r="I16" s="2">
        <v>9.0748562230710181</v>
      </c>
    </row>
    <row r="17" spans="1:9" ht="15.75" customHeight="1" x14ac:dyDescent="0.15">
      <c r="A17" s="2" t="s">
        <v>83</v>
      </c>
      <c r="B17" s="2" t="s">
        <v>46</v>
      </c>
      <c r="C17" s="2">
        <v>45</v>
      </c>
      <c r="D17" s="2">
        <v>3.1808625617596657E+18</v>
      </c>
      <c r="E17" s="2">
        <v>3.1808625617596657E-3</v>
      </c>
      <c r="F17" s="2">
        <v>13.7</v>
      </c>
      <c r="G17" s="2">
        <v>4.3577817096107418E-2</v>
      </c>
      <c r="H17" s="2">
        <v>25.77095916240464</v>
      </c>
      <c r="I17" s="2">
        <v>1.123042144770523</v>
      </c>
    </row>
    <row r="18" spans="1:9" ht="15.75" customHeight="1" x14ac:dyDescent="0.15">
      <c r="A18" s="2" t="s">
        <v>83</v>
      </c>
      <c r="B18" s="2" t="s">
        <v>50</v>
      </c>
      <c r="C18" s="2">
        <v>25</v>
      </c>
      <c r="D18" s="2">
        <v>1.7671458676442588E+18</v>
      </c>
      <c r="E18" s="2">
        <v>1.7671458676442589E-3</v>
      </c>
      <c r="F18" s="2">
        <v>4.5</v>
      </c>
      <c r="G18" s="2">
        <v>7.9521564043991654E-3</v>
      </c>
      <c r="H18" s="2">
        <v>47.633353710000002</v>
      </c>
      <c r="I18" s="2">
        <v>0.37878787876798725</v>
      </c>
    </row>
    <row r="19" spans="1:9" ht="15.75" customHeight="1" x14ac:dyDescent="0.15">
      <c r="A19" s="2" t="s">
        <v>83</v>
      </c>
      <c r="B19" s="2" t="s">
        <v>52</v>
      </c>
      <c r="C19" s="2">
        <v>183</v>
      </c>
      <c r="D19" s="2">
        <v>1.2935507751155972E+19</v>
      </c>
      <c r="E19" s="2">
        <v>1.2935507751155971E-2</v>
      </c>
      <c r="F19" s="2">
        <v>5.21</v>
      </c>
      <c r="G19" s="2">
        <v>6.7393995383522615E-2</v>
      </c>
      <c r="H19" s="2">
        <v>43.977832020000001</v>
      </c>
      <c r="I19" s="2">
        <v>2.9638418081332132</v>
      </c>
    </row>
    <row r="20" spans="1:9" ht="15.75" customHeight="1" x14ac:dyDescent="0.15">
      <c r="A20" s="2" t="s">
        <v>83</v>
      </c>
      <c r="B20" s="2" t="s">
        <v>54</v>
      </c>
      <c r="C20" s="2">
        <v>10</v>
      </c>
      <c r="D20" s="2">
        <v>7.0685834705770342E+17</v>
      </c>
      <c r="E20" s="2">
        <v>7.0685834705770342E-4</v>
      </c>
      <c r="F20" s="2">
        <v>2.9366666666666661</v>
      </c>
      <c r="G20" s="2">
        <v>2.0758073458594555E-3</v>
      </c>
      <c r="H20" s="2">
        <v>48.313196183993405</v>
      </c>
      <c r="I20" s="2">
        <v>0.10028888754068252</v>
      </c>
    </row>
    <row r="21" spans="1:9" ht="15.75" customHeight="1" x14ac:dyDescent="0.15">
      <c r="A21" s="2" t="s">
        <v>83</v>
      </c>
      <c r="B21" s="2" t="s">
        <v>56</v>
      </c>
      <c r="C21" s="2">
        <v>370</v>
      </c>
      <c r="D21" s="2">
        <v>2.6153758841135026E+19</v>
      </c>
      <c r="E21" s="2">
        <v>2.6153758841135025E-2</v>
      </c>
      <c r="F21" s="2">
        <v>19.3</v>
      </c>
      <c r="G21" s="2">
        <v>0.50476754563390602</v>
      </c>
      <c r="H21" s="2">
        <v>75.814931139999999</v>
      </c>
      <c r="I21" s="2">
        <v>38.268916713941394</v>
      </c>
    </row>
    <row r="22" spans="1:9" ht="15.75" customHeight="1" x14ac:dyDescent="0.15">
      <c r="A22" s="2" t="s">
        <v>85</v>
      </c>
      <c r="B22" s="2" t="s">
        <v>2</v>
      </c>
      <c r="C22" s="2">
        <v>0</v>
      </c>
      <c r="D22" s="2">
        <v>0</v>
      </c>
      <c r="E22" s="2">
        <v>0</v>
      </c>
      <c r="F22" s="4">
        <v>1.9999999999999998</v>
      </c>
      <c r="G22" s="2">
        <v>0</v>
      </c>
      <c r="H22" s="2">
        <v>254.6479089</v>
      </c>
      <c r="I22" s="2">
        <v>0</v>
      </c>
    </row>
    <row r="23" spans="1:9" ht="15.75" customHeight="1" x14ac:dyDescent="0.15">
      <c r="A23" s="2" t="s">
        <v>85</v>
      </c>
      <c r="B23" s="2" t="s">
        <v>4</v>
      </c>
      <c r="C23" s="2">
        <v>0</v>
      </c>
      <c r="D23" s="2">
        <v>0</v>
      </c>
      <c r="E23" s="2">
        <v>0</v>
      </c>
      <c r="F23" s="4">
        <v>2.7</v>
      </c>
      <c r="G23" s="2">
        <v>0</v>
      </c>
      <c r="H23" s="2">
        <v>10.72688123</v>
      </c>
      <c r="I23" s="2">
        <v>0</v>
      </c>
    </row>
    <row r="24" spans="1:9" ht="15.75" customHeight="1" x14ac:dyDescent="0.15">
      <c r="A24" s="2" t="s">
        <v>85</v>
      </c>
      <c r="B24" s="2" t="s">
        <v>6</v>
      </c>
      <c r="C24" s="2">
        <v>0</v>
      </c>
      <c r="D24" s="2">
        <v>0</v>
      </c>
      <c r="E24" s="2">
        <v>0</v>
      </c>
      <c r="F24" s="2">
        <v>2.78</v>
      </c>
      <c r="G24" s="2">
        <v>0</v>
      </c>
      <c r="H24" s="2">
        <v>8.4084969239999996</v>
      </c>
      <c r="I24" s="2">
        <v>0</v>
      </c>
    </row>
    <row r="25" spans="1:9" ht="15.75" customHeight="1" x14ac:dyDescent="0.15">
      <c r="A25" s="2" t="s">
        <v>85</v>
      </c>
      <c r="B25" s="2" t="s">
        <v>12</v>
      </c>
      <c r="C25" s="2">
        <v>0</v>
      </c>
      <c r="D25" s="2">
        <v>0</v>
      </c>
      <c r="E25" s="2">
        <v>0</v>
      </c>
      <c r="F25" s="2">
        <v>8.9</v>
      </c>
      <c r="G25" s="2">
        <v>0</v>
      </c>
      <c r="H25" s="2">
        <v>44.500045125910397</v>
      </c>
      <c r="I25" s="2">
        <v>0</v>
      </c>
    </row>
    <row r="26" spans="1:9" ht="15.75" customHeight="1" x14ac:dyDescent="0.15">
      <c r="A26" s="2" t="s">
        <v>85</v>
      </c>
      <c r="B26" s="2" t="s">
        <v>74</v>
      </c>
      <c r="C26" s="2">
        <v>0</v>
      </c>
      <c r="D26" s="2">
        <v>0</v>
      </c>
      <c r="E26" s="2">
        <v>0</v>
      </c>
      <c r="F26" s="4">
        <v>2.2000000000000002</v>
      </c>
      <c r="G26" s="2">
        <v>0</v>
      </c>
      <c r="H26" s="2">
        <v>13.98634348</v>
      </c>
      <c r="I26" s="2">
        <v>0</v>
      </c>
    </row>
    <row r="27" spans="1:9" ht="15.75" customHeight="1" x14ac:dyDescent="0.15">
      <c r="A27" s="2" t="s">
        <v>85</v>
      </c>
      <c r="B27" s="2" t="s">
        <v>75</v>
      </c>
      <c r="C27" s="2">
        <v>2068.333333333333</v>
      </c>
      <c r="D27" s="2">
        <v>1.4620186811643498E+20</v>
      </c>
      <c r="E27" s="2">
        <v>0.14620186811643499</v>
      </c>
      <c r="F27" s="4">
        <v>8.9599999999999991</v>
      </c>
      <c r="G27" s="2">
        <v>1.3099687383232574</v>
      </c>
      <c r="H27" s="2">
        <v>6.090112618</v>
      </c>
      <c r="I27" s="2">
        <v>7.97785714244801</v>
      </c>
    </row>
    <row r="28" spans="1:9" ht="15.75" customHeight="1" x14ac:dyDescent="0.15">
      <c r="A28" s="2" t="s">
        <v>85</v>
      </c>
      <c r="B28" s="2" t="s">
        <v>82</v>
      </c>
      <c r="C28" s="2">
        <v>0</v>
      </c>
      <c r="D28" s="2">
        <v>0</v>
      </c>
      <c r="E28" s="2">
        <v>0</v>
      </c>
      <c r="F28" s="2">
        <v>9.69</v>
      </c>
      <c r="G28" s="2">
        <v>0</v>
      </c>
      <c r="H28" s="2">
        <v>24.90282413547882</v>
      </c>
      <c r="I28" s="2">
        <v>0</v>
      </c>
    </row>
    <row r="29" spans="1:9" ht="15.75" customHeight="1" x14ac:dyDescent="0.15">
      <c r="A29" s="2" t="s">
        <v>85</v>
      </c>
      <c r="B29" s="2" t="s">
        <v>22</v>
      </c>
      <c r="C29" s="2">
        <v>26</v>
      </c>
      <c r="D29" s="2">
        <v>1.8378317023500291E+18</v>
      </c>
      <c r="E29" s="2">
        <v>1.8378317023500291E-3</v>
      </c>
      <c r="F29" s="2">
        <v>18.63</v>
      </c>
      <c r="G29" s="2">
        <v>3.4238804614781043E-2</v>
      </c>
      <c r="H29" s="2">
        <v>19053.34</v>
      </c>
      <c r="I29" s="2">
        <v>652.36358551899229</v>
      </c>
    </row>
    <row r="30" spans="1:9" ht="15.75" customHeight="1" x14ac:dyDescent="0.15">
      <c r="A30" s="2" t="s">
        <v>85</v>
      </c>
      <c r="B30" s="2" t="s">
        <v>84</v>
      </c>
      <c r="C30" s="2">
        <v>130</v>
      </c>
      <c r="D30" s="2">
        <v>9.189158511750144E+18</v>
      </c>
      <c r="E30" s="2">
        <v>9.1891585117501434E-3</v>
      </c>
      <c r="F30" s="4">
        <v>2.33</v>
      </c>
      <c r="G30" s="2">
        <v>2.1410739332377835E-2</v>
      </c>
      <c r="H30" s="2">
        <v>4.1309515379999997</v>
      </c>
      <c r="I30" s="2">
        <v>8.8446726574803305E-2</v>
      </c>
    </row>
    <row r="31" spans="1:9" ht="15.75" customHeight="1" x14ac:dyDescent="0.15">
      <c r="A31" s="2" t="s">
        <v>85</v>
      </c>
      <c r="B31" s="2" t="s">
        <v>28</v>
      </c>
      <c r="C31" s="2">
        <v>21500</v>
      </c>
      <c r="D31" s="2">
        <v>1.5197454461740623E+21</v>
      </c>
      <c r="E31" s="2">
        <v>1.5197454461740623</v>
      </c>
      <c r="F31" s="4">
        <v>0.96599999999999986</v>
      </c>
      <c r="G31" s="2">
        <v>1.468074101004144</v>
      </c>
      <c r="H31" s="2">
        <v>4.2</v>
      </c>
      <c r="I31" s="2">
        <v>6.165911224217405</v>
      </c>
    </row>
    <row r="32" spans="1:9" ht="15.75" customHeight="1" x14ac:dyDescent="0.15">
      <c r="A32" s="2" t="s">
        <v>85</v>
      </c>
      <c r="B32" s="2" t="s">
        <v>30</v>
      </c>
      <c r="C32" s="2">
        <v>0</v>
      </c>
      <c r="D32" s="2">
        <v>0</v>
      </c>
      <c r="E32" s="2">
        <v>0</v>
      </c>
      <c r="F32" s="4">
        <v>2.29</v>
      </c>
      <c r="G32" s="2">
        <v>0</v>
      </c>
      <c r="H32" s="2">
        <v>308.88877839999998</v>
      </c>
      <c r="I32" s="2">
        <v>0</v>
      </c>
    </row>
    <row r="33" spans="1:9" ht="15.75" customHeight="1" x14ac:dyDescent="0.15">
      <c r="A33" s="2" t="s">
        <v>85</v>
      </c>
      <c r="B33" s="2" t="s">
        <v>32</v>
      </c>
      <c r="C33" s="2">
        <v>123</v>
      </c>
      <c r="D33" s="2">
        <v>8.6943576688097526E+18</v>
      </c>
      <c r="E33" s="2">
        <v>8.6943576688097522E-3</v>
      </c>
      <c r="F33" s="4">
        <v>3.3299999999999996</v>
      </c>
      <c r="G33" s="2">
        <v>2.8952211037136473E-2</v>
      </c>
      <c r="H33" s="2">
        <v>67.974083140000005</v>
      </c>
      <c r="I33" s="2">
        <v>1.9680000001251403</v>
      </c>
    </row>
    <row r="34" spans="1:9" ht="15.75" customHeight="1" x14ac:dyDescent="0.15">
      <c r="A34" s="2" t="s">
        <v>85</v>
      </c>
      <c r="B34" s="2" t="s">
        <v>36</v>
      </c>
      <c r="C34" s="2">
        <v>244</v>
      </c>
      <c r="D34" s="2">
        <v>1.7247343668207964E+19</v>
      </c>
      <c r="E34" s="2">
        <v>1.7247343668207963E-2</v>
      </c>
      <c r="F34" s="4">
        <v>3.17</v>
      </c>
      <c r="G34" s="2">
        <v>5.4674079428219238E-2</v>
      </c>
      <c r="H34" s="2">
        <v>64.572054300000005</v>
      </c>
      <c r="I34" s="2">
        <v>3.5304176256414861</v>
      </c>
    </row>
    <row r="35" spans="1:9" ht="15.75" customHeight="1" x14ac:dyDescent="0.15">
      <c r="A35" s="2" t="s">
        <v>85</v>
      </c>
      <c r="B35" s="2" t="s">
        <v>38</v>
      </c>
      <c r="C35" s="2">
        <v>3809</v>
      </c>
      <c r="D35" s="2">
        <v>2.6924234439427922E+20</v>
      </c>
      <c r="E35" s="2">
        <v>0.26924234439427924</v>
      </c>
      <c r="F35" s="4">
        <v>2.13</v>
      </c>
      <c r="G35" s="2">
        <v>0.57348619355981478</v>
      </c>
      <c r="H35" s="2">
        <v>2.0464638869999998</v>
      </c>
      <c r="I35" s="2">
        <v>1.1736187848132529</v>
      </c>
    </row>
    <row r="36" spans="1:9" ht="15.75" customHeight="1" x14ac:dyDescent="0.15">
      <c r="A36" s="2" t="s">
        <v>85</v>
      </c>
      <c r="B36" s="2" t="s">
        <v>40</v>
      </c>
      <c r="C36" s="2">
        <v>0</v>
      </c>
      <c r="D36" s="2">
        <v>0</v>
      </c>
      <c r="E36" s="2">
        <v>0</v>
      </c>
      <c r="F36" s="2">
        <v>2</v>
      </c>
      <c r="G36" s="2">
        <v>0</v>
      </c>
      <c r="H36" s="2">
        <v>88.012999603628515</v>
      </c>
      <c r="I36" s="2">
        <v>0</v>
      </c>
    </row>
    <row r="37" spans="1:9" ht="15.75" customHeight="1" x14ac:dyDescent="0.15">
      <c r="A37" s="2" t="s">
        <v>85</v>
      </c>
      <c r="B37" s="2" t="s">
        <v>42</v>
      </c>
      <c r="C37" s="2">
        <v>9.6</v>
      </c>
      <c r="D37" s="2">
        <v>6.7858401317539533E+17</v>
      </c>
      <c r="E37" s="2">
        <v>6.7858401317539532E-4</v>
      </c>
      <c r="F37" s="4">
        <v>2.81</v>
      </c>
      <c r="G37" s="2">
        <v>1.9068210770228609E-3</v>
      </c>
      <c r="H37" s="2">
        <v>37.870563869999998</v>
      </c>
      <c r="I37" s="2">
        <v>7.2212389386056439E-2</v>
      </c>
    </row>
    <row r="38" spans="1:9" ht="15.75" customHeight="1" x14ac:dyDescent="0.15">
      <c r="A38" s="2" t="s">
        <v>85</v>
      </c>
      <c r="B38" s="2" t="s">
        <v>44</v>
      </c>
      <c r="C38" s="2">
        <v>18.333333333333332</v>
      </c>
      <c r="D38" s="2">
        <v>1.2959069696057897E+18</v>
      </c>
      <c r="E38" s="2">
        <v>1.2959069696057896E-3</v>
      </c>
      <c r="F38" s="2">
        <v>16.7</v>
      </c>
      <c r="G38" s="2">
        <v>2.1641646392416686E-2</v>
      </c>
      <c r="H38" s="2">
        <v>170.8356</v>
      </c>
      <c r="I38" s="2">
        <v>3.6971636464363402</v>
      </c>
    </row>
    <row r="39" spans="1:9" ht="15.75" customHeight="1" x14ac:dyDescent="0.15">
      <c r="A39" s="2" t="s">
        <v>85</v>
      </c>
      <c r="B39" s="2" t="s">
        <v>46</v>
      </c>
      <c r="C39" s="2">
        <v>18.333333333333332</v>
      </c>
      <c r="D39" s="2">
        <v>1.2959069696057897E+18</v>
      </c>
      <c r="E39" s="2">
        <v>1.2959069696057896E-3</v>
      </c>
      <c r="F39" s="4">
        <v>13.699999999999998</v>
      </c>
      <c r="G39" s="2">
        <v>1.7753925483599314E-2</v>
      </c>
      <c r="H39" s="2">
        <v>25.81588696</v>
      </c>
      <c r="I39" s="2">
        <v>0.45833333338086324</v>
      </c>
    </row>
    <row r="40" spans="1:9" ht="15.75" customHeight="1" x14ac:dyDescent="0.15">
      <c r="A40" s="2" t="s">
        <v>85</v>
      </c>
      <c r="B40" s="2" t="s">
        <v>48</v>
      </c>
      <c r="C40" s="2">
        <v>0</v>
      </c>
      <c r="D40" s="2">
        <v>0</v>
      </c>
      <c r="E40" s="2">
        <v>0</v>
      </c>
      <c r="F40" s="4">
        <v>0.93999999999999984</v>
      </c>
      <c r="G40" s="2">
        <v>0</v>
      </c>
      <c r="H40" s="2">
        <v>2.8595214360000001</v>
      </c>
      <c r="I40" s="2">
        <v>0</v>
      </c>
    </row>
    <row r="41" spans="1:9" ht="15.75" customHeight="1" x14ac:dyDescent="0.15">
      <c r="A41" s="2" t="s">
        <v>85</v>
      </c>
      <c r="B41" s="2" t="s">
        <v>50</v>
      </c>
      <c r="C41" s="2">
        <v>0</v>
      </c>
      <c r="D41" s="2">
        <v>0</v>
      </c>
      <c r="E41" s="2">
        <v>0</v>
      </c>
      <c r="F41" s="4">
        <v>4.5</v>
      </c>
      <c r="G41" s="2">
        <v>0</v>
      </c>
      <c r="H41" s="2">
        <v>47.633353710000002</v>
      </c>
      <c r="I41" s="2">
        <v>0</v>
      </c>
    </row>
    <row r="42" spans="1:9" ht="15.75" customHeight="1" x14ac:dyDescent="0.15">
      <c r="A42" s="2" t="s">
        <v>85</v>
      </c>
      <c r="B42" s="2" t="s">
        <v>52</v>
      </c>
      <c r="C42" s="2">
        <v>24</v>
      </c>
      <c r="D42" s="2">
        <v>1.6964600329384883E+18</v>
      </c>
      <c r="E42" s="2">
        <v>1.6964600329384884E-3</v>
      </c>
      <c r="F42" s="4">
        <v>5.2099999999999991</v>
      </c>
      <c r="G42" s="2">
        <v>8.8385567716095237E-3</v>
      </c>
      <c r="H42" s="2">
        <v>43.977832020000001</v>
      </c>
      <c r="I42" s="2">
        <v>0.38870056500107714</v>
      </c>
    </row>
    <row r="43" spans="1:9" ht="15.75" customHeight="1" x14ac:dyDescent="0.15">
      <c r="A43" s="2" t="s">
        <v>85</v>
      </c>
      <c r="B43" s="2" t="s">
        <v>56</v>
      </c>
      <c r="C43" s="2">
        <v>500</v>
      </c>
      <c r="D43" s="2">
        <v>3.534291735288517E+19</v>
      </c>
      <c r="E43" s="2">
        <v>3.5342917352885167E-2</v>
      </c>
      <c r="F43" s="4">
        <v>19.3</v>
      </c>
      <c r="G43" s="2">
        <v>0.6821183049106837</v>
      </c>
      <c r="H43" s="2">
        <v>75.814931139999999</v>
      </c>
      <c r="I43" s="2">
        <v>51.714752316137009</v>
      </c>
    </row>
    <row r="44" spans="1:9" ht="15.75" customHeight="1" x14ac:dyDescent="0.15">
      <c r="A44" s="2" t="s">
        <v>85</v>
      </c>
      <c r="B44" s="2" t="s">
        <v>60</v>
      </c>
      <c r="C44" s="2">
        <v>0</v>
      </c>
      <c r="D44" s="2">
        <v>0</v>
      </c>
      <c r="E44" s="2">
        <v>0</v>
      </c>
      <c r="F44" s="2">
        <v>4.8149999999999995</v>
      </c>
      <c r="G44" s="2">
        <v>0</v>
      </c>
      <c r="H44" s="2">
        <v>1065.070666154757</v>
      </c>
      <c r="I44" s="2">
        <v>0</v>
      </c>
    </row>
    <row r="45" spans="1:9" ht="15.75" customHeight="1" x14ac:dyDescent="0.15">
      <c r="A45" s="2" t="s">
        <v>85</v>
      </c>
      <c r="B45" s="2" t="s">
        <v>62</v>
      </c>
      <c r="C45" s="2">
        <v>0</v>
      </c>
      <c r="D45" s="2">
        <v>0</v>
      </c>
      <c r="E45" s="2">
        <v>0</v>
      </c>
      <c r="F45" s="2">
        <v>6.44</v>
      </c>
      <c r="G45" s="2">
        <v>0</v>
      </c>
      <c r="H45" s="2">
        <v>1008.6373963173792</v>
      </c>
      <c r="I45" s="2">
        <v>0</v>
      </c>
    </row>
    <row r="46" spans="1:9" ht="15.75" customHeight="1" x14ac:dyDescent="0.15">
      <c r="A46" s="2" t="s">
        <v>85</v>
      </c>
      <c r="B46" s="2" t="s">
        <v>64</v>
      </c>
      <c r="C46" s="2">
        <v>0</v>
      </c>
      <c r="D46" s="2">
        <v>0</v>
      </c>
      <c r="E46" s="2">
        <v>0</v>
      </c>
      <c r="F46" s="2">
        <v>7.6849999999999996</v>
      </c>
      <c r="G46" s="2">
        <v>0</v>
      </c>
      <c r="H46" s="2">
        <v>1015.9485375966532</v>
      </c>
      <c r="I46" s="2">
        <v>0</v>
      </c>
    </row>
    <row r="47" spans="1:9" ht="15.75" customHeight="1" x14ac:dyDescent="0.15">
      <c r="A47" s="2" t="s">
        <v>86</v>
      </c>
      <c r="B47" s="2" t="s">
        <v>2</v>
      </c>
      <c r="C47" s="2">
        <v>0</v>
      </c>
      <c r="D47" s="2">
        <v>0</v>
      </c>
      <c r="E47" s="2">
        <v>0</v>
      </c>
      <c r="F47" s="4">
        <v>1.9999999999999998</v>
      </c>
      <c r="G47" s="2">
        <v>0</v>
      </c>
      <c r="H47" s="2">
        <v>254.6479089</v>
      </c>
      <c r="I47" s="2">
        <v>0</v>
      </c>
    </row>
    <row r="48" spans="1:9" ht="15.75" customHeight="1" x14ac:dyDescent="0.15">
      <c r="A48" s="2" t="s">
        <v>86</v>
      </c>
      <c r="B48" s="2" t="s">
        <v>4</v>
      </c>
      <c r="C48" s="2">
        <v>0</v>
      </c>
      <c r="D48" s="2">
        <v>0</v>
      </c>
      <c r="E48" s="2">
        <v>0</v>
      </c>
      <c r="F48" s="4">
        <v>2.7</v>
      </c>
      <c r="G48" s="2">
        <v>0</v>
      </c>
      <c r="H48" s="2">
        <v>10.72688123</v>
      </c>
      <c r="I48" s="2">
        <v>0</v>
      </c>
    </row>
    <row r="49" spans="1:9" ht="15.75" customHeight="1" x14ac:dyDescent="0.15">
      <c r="A49" s="2" t="s">
        <v>86</v>
      </c>
      <c r="B49" s="2" t="s">
        <v>6</v>
      </c>
      <c r="C49" s="2">
        <v>0</v>
      </c>
      <c r="D49" s="2">
        <v>0</v>
      </c>
      <c r="E49" s="2">
        <v>0</v>
      </c>
      <c r="F49" s="2">
        <v>2.78</v>
      </c>
      <c r="G49" s="2">
        <v>0</v>
      </c>
      <c r="H49" s="2">
        <v>8.4084969239999996</v>
      </c>
      <c r="I49" s="2">
        <v>0</v>
      </c>
    </row>
    <row r="50" spans="1:9" ht="15.75" customHeight="1" x14ac:dyDescent="0.15">
      <c r="A50" s="2" t="s">
        <v>86</v>
      </c>
      <c r="B50" s="2" t="s">
        <v>12</v>
      </c>
      <c r="C50" s="2">
        <v>2</v>
      </c>
      <c r="D50" s="2">
        <v>1.4137166941154069E+17</v>
      </c>
      <c r="E50" s="2">
        <v>1.4137166941154068E-4</v>
      </c>
      <c r="F50" s="4">
        <v>8.9</v>
      </c>
      <c r="G50" s="2">
        <v>1.2582078577627121E-3</v>
      </c>
      <c r="H50" s="2">
        <v>44.500045125910397</v>
      </c>
      <c r="I50" s="2">
        <v>5.5990306448215739E-2</v>
      </c>
    </row>
    <row r="51" spans="1:9" ht="13" x14ac:dyDescent="0.15">
      <c r="A51" s="2" t="s">
        <v>86</v>
      </c>
      <c r="B51" s="2" t="s">
        <v>74</v>
      </c>
      <c r="C51" s="2">
        <v>0</v>
      </c>
      <c r="D51" s="2">
        <v>0</v>
      </c>
      <c r="E51" s="2">
        <v>0</v>
      </c>
      <c r="F51" s="4">
        <v>2.2000000000000002</v>
      </c>
      <c r="G51" s="2">
        <v>0</v>
      </c>
      <c r="H51" s="2">
        <v>13.98634348</v>
      </c>
      <c r="I51" s="2">
        <v>0</v>
      </c>
    </row>
    <row r="52" spans="1:9" ht="13" x14ac:dyDescent="0.15">
      <c r="A52" s="2" t="s">
        <v>86</v>
      </c>
      <c r="B52" s="2" t="s">
        <v>75</v>
      </c>
      <c r="C52" s="2">
        <v>340</v>
      </c>
      <c r="D52" s="2">
        <v>2.4033183799961919E+19</v>
      </c>
      <c r="E52" s="2">
        <v>2.4033183799961919E-2</v>
      </c>
      <c r="F52" s="4">
        <v>8.9599999999999991</v>
      </c>
      <c r="G52" s="2">
        <v>0.21533732684765877</v>
      </c>
      <c r="H52" s="2">
        <v>6.090112618</v>
      </c>
      <c r="I52" s="2">
        <v>1.311428571361317</v>
      </c>
    </row>
    <row r="53" spans="1:9" ht="13" x14ac:dyDescent="0.15">
      <c r="A53" s="2" t="s">
        <v>86</v>
      </c>
      <c r="B53" s="2" t="s">
        <v>82</v>
      </c>
      <c r="C53" s="2">
        <v>0</v>
      </c>
      <c r="D53" s="2">
        <v>0</v>
      </c>
      <c r="E53" s="2">
        <v>0</v>
      </c>
      <c r="F53" s="2">
        <v>9.69</v>
      </c>
      <c r="G53" s="2">
        <v>0</v>
      </c>
      <c r="H53" s="2">
        <v>24.90282413547882</v>
      </c>
      <c r="I53" s="2">
        <v>0</v>
      </c>
    </row>
    <row r="54" spans="1:9" ht="13" x14ac:dyDescent="0.15">
      <c r="A54" s="2" t="s">
        <v>86</v>
      </c>
      <c r="B54" s="2" t="s">
        <v>22</v>
      </c>
      <c r="C54" s="2">
        <v>0</v>
      </c>
      <c r="D54" s="2">
        <v>0</v>
      </c>
      <c r="E54" s="2">
        <v>0</v>
      </c>
      <c r="F54" s="2">
        <v>18.63</v>
      </c>
      <c r="G54" s="2">
        <v>0</v>
      </c>
      <c r="H54" s="2">
        <v>19053.34</v>
      </c>
      <c r="I54" s="2">
        <v>0</v>
      </c>
    </row>
    <row r="55" spans="1:9" ht="13" x14ac:dyDescent="0.15">
      <c r="A55" s="2" t="s">
        <v>86</v>
      </c>
      <c r="B55" s="2" t="s">
        <v>84</v>
      </c>
      <c r="C55" s="2">
        <v>0</v>
      </c>
      <c r="D55" s="2">
        <v>0</v>
      </c>
      <c r="E55" s="2">
        <v>0</v>
      </c>
      <c r="F55" s="4">
        <v>2.33</v>
      </c>
      <c r="G55" s="2">
        <v>0</v>
      </c>
      <c r="H55" s="2">
        <v>4.1309515379999997</v>
      </c>
      <c r="I55" s="2">
        <v>0</v>
      </c>
    </row>
    <row r="56" spans="1:9" ht="13" x14ac:dyDescent="0.15">
      <c r="A56" s="2" t="s">
        <v>86</v>
      </c>
      <c r="B56" s="2" t="s">
        <v>28</v>
      </c>
      <c r="C56" s="2">
        <v>1000</v>
      </c>
      <c r="D56" s="2">
        <v>7.068583470577034E+19</v>
      </c>
      <c r="E56" s="2">
        <v>7.0685834705770334E-2</v>
      </c>
      <c r="F56" s="4">
        <v>0.96599999999999986</v>
      </c>
      <c r="G56" s="2">
        <v>6.8282516325774131E-2</v>
      </c>
      <c r="H56" s="2">
        <v>4.2</v>
      </c>
      <c r="I56" s="2">
        <v>0.28678656856825135</v>
      </c>
    </row>
    <row r="57" spans="1:9" ht="13" x14ac:dyDescent="0.15">
      <c r="A57" s="2" t="s">
        <v>86</v>
      </c>
      <c r="B57" s="2" t="s">
        <v>30</v>
      </c>
      <c r="C57" s="2">
        <v>0</v>
      </c>
      <c r="D57" s="2">
        <v>0</v>
      </c>
      <c r="E57" s="2">
        <v>0</v>
      </c>
      <c r="F57" s="4">
        <v>2.29</v>
      </c>
      <c r="G57" s="2">
        <v>0</v>
      </c>
      <c r="H57" s="2">
        <v>308.88877839999998</v>
      </c>
      <c r="I57" s="2">
        <v>0</v>
      </c>
    </row>
    <row r="58" spans="1:9" ht="13" x14ac:dyDescent="0.15">
      <c r="A58" s="2" t="s">
        <v>86</v>
      </c>
      <c r="B58" s="2" t="s">
        <v>32</v>
      </c>
      <c r="C58" s="2">
        <v>0</v>
      </c>
      <c r="D58" s="2">
        <v>0</v>
      </c>
      <c r="E58" s="2">
        <v>0</v>
      </c>
      <c r="F58" s="4">
        <v>3.3299999999999996</v>
      </c>
      <c r="G58" s="2">
        <v>0</v>
      </c>
      <c r="H58" s="2">
        <v>67.974083140000005</v>
      </c>
      <c r="I58" s="2">
        <v>0</v>
      </c>
    </row>
    <row r="59" spans="1:9" ht="13" x14ac:dyDescent="0.15">
      <c r="A59" s="2" t="s">
        <v>86</v>
      </c>
      <c r="B59" s="2" t="s">
        <v>36</v>
      </c>
      <c r="C59" s="2">
        <v>0</v>
      </c>
      <c r="D59" s="2">
        <v>0</v>
      </c>
      <c r="E59" s="2">
        <v>0</v>
      </c>
      <c r="F59" s="4">
        <v>3.17</v>
      </c>
      <c r="G59" s="2">
        <v>0</v>
      </c>
      <c r="H59" s="2">
        <v>64.572054300000005</v>
      </c>
      <c r="I59" s="2">
        <v>0</v>
      </c>
    </row>
    <row r="60" spans="1:9" ht="13" x14ac:dyDescent="0.15">
      <c r="A60" s="2" t="s">
        <v>86</v>
      </c>
      <c r="B60" s="2" t="s">
        <v>38</v>
      </c>
      <c r="C60" s="2">
        <v>10</v>
      </c>
      <c r="D60" s="2">
        <v>7.0685834705770342E+17</v>
      </c>
      <c r="E60" s="2">
        <v>7.0685834705770342E-4</v>
      </c>
      <c r="F60" s="4">
        <v>2.13</v>
      </c>
      <c r="G60" s="2">
        <v>1.5056082792329081E-3</v>
      </c>
      <c r="H60" s="2">
        <v>2.0464638869999998</v>
      </c>
      <c r="I60" s="2">
        <v>3.0811729714183582E-3</v>
      </c>
    </row>
    <row r="61" spans="1:9" ht="13" x14ac:dyDescent="0.15">
      <c r="A61" s="2" t="s">
        <v>86</v>
      </c>
      <c r="B61" s="2" t="s">
        <v>40</v>
      </c>
      <c r="C61" s="2">
        <v>300</v>
      </c>
      <c r="D61" s="2">
        <v>2.1205750411731104E+19</v>
      </c>
      <c r="E61" s="2">
        <v>2.1205750411731103E-2</v>
      </c>
      <c r="F61" s="2">
        <v>2</v>
      </c>
      <c r="G61" s="2">
        <v>4.2411500823462206E-2</v>
      </c>
      <c r="H61" s="2">
        <v>88.012999603628515</v>
      </c>
      <c r="I61" s="2">
        <v>3.7327634051646696</v>
      </c>
    </row>
    <row r="62" spans="1:9" ht="13" x14ac:dyDescent="0.15">
      <c r="A62" s="2" t="s">
        <v>86</v>
      </c>
      <c r="B62" s="2" t="s">
        <v>42</v>
      </c>
      <c r="C62" s="2">
        <v>0</v>
      </c>
      <c r="D62" s="2">
        <v>0</v>
      </c>
      <c r="E62" s="2">
        <v>0</v>
      </c>
      <c r="F62" s="4">
        <v>2.81</v>
      </c>
      <c r="G62" s="2">
        <v>0</v>
      </c>
      <c r="H62" s="2">
        <v>37.870563869999998</v>
      </c>
      <c r="I62" s="2">
        <v>0</v>
      </c>
    </row>
    <row r="63" spans="1:9" ht="13" x14ac:dyDescent="0.15">
      <c r="A63" s="2" t="s">
        <v>86</v>
      </c>
      <c r="B63" s="2" t="s">
        <v>44</v>
      </c>
      <c r="C63" s="2">
        <v>15</v>
      </c>
      <c r="D63" s="2">
        <v>1.0602875205865551E+18</v>
      </c>
      <c r="E63" s="2">
        <v>1.0602875205865552E-3</v>
      </c>
      <c r="F63" s="2">
        <v>16.7</v>
      </c>
      <c r="G63" s="2">
        <v>1.7706801593795472E-2</v>
      </c>
      <c r="H63" s="2">
        <v>170.8356</v>
      </c>
      <c r="I63" s="2">
        <v>3.0249520743570057</v>
      </c>
    </row>
    <row r="64" spans="1:9" ht="13" x14ac:dyDescent="0.15">
      <c r="A64" s="2" t="s">
        <v>86</v>
      </c>
      <c r="B64" s="2" t="s">
        <v>46</v>
      </c>
      <c r="C64" s="2">
        <v>15</v>
      </c>
      <c r="D64" s="2">
        <v>1.0602875205865551E+18</v>
      </c>
      <c r="E64" s="2">
        <v>1.0602875205865552E-3</v>
      </c>
      <c r="F64" s="4">
        <v>13.699999999999998</v>
      </c>
      <c r="G64" s="2">
        <v>1.4525939032035804E-2</v>
      </c>
      <c r="H64" s="2">
        <v>25.81588696</v>
      </c>
      <c r="I64" s="2">
        <v>0.37500000003888817</v>
      </c>
    </row>
    <row r="65" spans="1:9" ht="13" x14ac:dyDescent="0.15">
      <c r="A65" s="2" t="s">
        <v>86</v>
      </c>
      <c r="B65" s="2" t="s">
        <v>48</v>
      </c>
      <c r="C65" s="2">
        <v>0</v>
      </c>
      <c r="D65" s="2">
        <v>0</v>
      </c>
      <c r="E65" s="2">
        <v>0</v>
      </c>
      <c r="F65" s="4">
        <v>0.93999999999999984</v>
      </c>
      <c r="G65" s="2">
        <v>0</v>
      </c>
      <c r="H65" s="2">
        <v>2.8595214360000001</v>
      </c>
      <c r="I65" s="2">
        <v>0</v>
      </c>
    </row>
    <row r="66" spans="1:9" ht="13" x14ac:dyDescent="0.15">
      <c r="A66" s="2" t="s">
        <v>86</v>
      </c>
      <c r="B66" s="2" t="s">
        <v>50</v>
      </c>
      <c r="C66" s="2">
        <v>0</v>
      </c>
      <c r="D66" s="2">
        <v>0</v>
      </c>
      <c r="E66" s="2">
        <v>0</v>
      </c>
      <c r="F66" s="4">
        <v>4.5</v>
      </c>
      <c r="G66" s="2">
        <v>0</v>
      </c>
      <c r="H66" s="2">
        <v>47.633353710000002</v>
      </c>
      <c r="I66" s="2">
        <v>0</v>
      </c>
    </row>
    <row r="67" spans="1:9" ht="13" x14ac:dyDescent="0.15">
      <c r="A67" s="2" t="s">
        <v>86</v>
      </c>
      <c r="B67" s="2" t="s">
        <v>52</v>
      </c>
      <c r="C67" s="2">
        <v>0</v>
      </c>
      <c r="D67" s="2">
        <v>0</v>
      </c>
      <c r="E67" s="2">
        <v>0</v>
      </c>
      <c r="F67" s="4">
        <v>5.2099999999999991</v>
      </c>
      <c r="G67" s="2">
        <v>0</v>
      </c>
      <c r="H67" s="2">
        <v>43.977832020000001</v>
      </c>
      <c r="I67" s="2">
        <v>0</v>
      </c>
    </row>
    <row r="68" spans="1:9" ht="13" x14ac:dyDescent="0.15">
      <c r="A68" s="2" t="s">
        <v>86</v>
      </c>
      <c r="B68" s="2" t="s">
        <v>56</v>
      </c>
      <c r="C68" s="2">
        <v>0</v>
      </c>
      <c r="D68" s="2">
        <v>0</v>
      </c>
      <c r="E68" s="2">
        <v>0</v>
      </c>
      <c r="F68" s="4">
        <v>19.3</v>
      </c>
      <c r="G68" s="2">
        <v>0</v>
      </c>
      <c r="H68" s="2">
        <v>75.814931139999999</v>
      </c>
      <c r="I68" s="2">
        <v>0</v>
      </c>
    </row>
    <row r="69" spans="1:9" ht="13" x14ac:dyDescent="0.15">
      <c r="A69" s="2" t="s">
        <v>86</v>
      </c>
      <c r="B69" s="2" t="s">
        <v>58</v>
      </c>
      <c r="C69" s="2">
        <v>0</v>
      </c>
      <c r="F69" s="4" t="s">
        <v>77</v>
      </c>
      <c r="H69" s="2">
        <v>365.30540000000002</v>
      </c>
      <c r="I69" s="2">
        <v>51643.834243050638</v>
      </c>
    </row>
    <row r="70" spans="1:9" ht="13" x14ac:dyDescent="0.15">
      <c r="A70" s="2" t="s">
        <v>86</v>
      </c>
      <c r="B70" s="2" t="s">
        <v>60</v>
      </c>
      <c r="C70" s="2">
        <v>0</v>
      </c>
      <c r="D70" s="2">
        <v>0</v>
      </c>
      <c r="E70" s="2">
        <v>0</v>
      </c>
      <c r="F70" s="2">
        <v>4.8149999999999995</v>
      </c>
      <c r="G70" s="2">
        <v>0</v>
      </c>
      <c r="H70" s="2">
        <v>1065.070666154757</v>
      </c>
      <c r="I70" s="2">
        <v>0</v>
      </c>
    </row>
    <row r="71" spans="1:9" ht="13" x14ac:dyDescent="0.15">
      <c r="A71" s="2" t="s">
        <v>86</v>
      </c>
      <c r="B71" s="2" t="s">
        <v>62</v>
      </c>
      <c r="C71" s="2">
        <v>0</v>
      </c>
      <c r="D71" s="2">
        <v>0</v>
      </c>
      <c r="E71" s="2">
        <v>0</v>
      </c>
      <c r="F71" s="2">
        <v>6.44</v>
      </c>
      <c r="G71" s="2">
        <v>0</v>
      </c>
      <c r="H71" s="2">
        <v>1008.6373963173792</v>
      </c>
      <c r="I71" s="2">
        <v>0</v>
      </c>
    </row>
    <row r="72" spans="1:9" ht="13" x14ac:dyDescent="0.15">
      <c r="A72" s="2" t="s">
        <v>86</v>
      </c>
      <c r="B72" s="2" t="s">
        <v>64</v>
      </c>
      <c r="C72" s="2">
        <v>0</v>
      </c>
      <c r="D72" s="2">
        <v>0</v>
      </c>
      <c r="E72" s="2">
        <v>0</v>
      </c>
      <c r="F72" s="2">
        <v>7.6849999999999996</v>
      </c>
      <c r="G72" s="2">
        <v>0</v>
      </c>
      <c r="H72" s="2">
        <v>1015.9485375966532</v>
      </c>
      <c r="I72" s="2">
        <v>0</v>
      </c>
    </row>
    <row r="74" spans="1:9" ht="13" x14ac:dyDescent="0.15">
      <c r="H74" s="3" t="s">
        <v>78</v>
      </c>
      <c r="I74" s="2">
        <v>1077.2561793855796</v>
      </c>
    </row>
    <row r="75" spans="1:9" ht="13" x14ac:dyDescent="0.15">
      <c r="H75" s="3" t="s">
        <v>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65"/>
  <sheetViews>
    <sheetView tabSelected="1" workbookViewId="0"/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58</v>
      </c>
      <c r="B1" s="1" t="s">
        <v>66</v>
      </c>
      <c r="C1" s="1" t="s">
        <v>81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80</v>
      </c>
      <c r="I1" s="1" t="s">
        <v>73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85</v>
      </c>
      <c r="B2" s="2" t="s">
        <v>2</v>
      </c>
      <c r="C2" s="2">
        <v>0</v>
      </c>
      <c r="D2" s="2">
        <v>0</v>
      </c>
      <c r="E2" s="2">
        <v>0</v>
      </c>
      <c r="F2" s="4">
        <v>1.9999999999999998</v>
      </c>
      <c r="G2" s="2">
        <v>0</v>
      </c>
      <c r="H2" s="2">
        <v>254.6479089</v>
      </c>
      <c r="I2" s="2">
        <v>0</v>
      </c>
    </row>
    <row r="3" spans="1:26" ht="15.75" customHeight="1" x14ac:dyDescent="0.15">
      <c r="A3" s="2" t="s">
        <v>85</v>
      </c>
      <c r="B3" s="2" t="s">
        <v>4</v>
      </c>
      <c r="C3" s="2">
        <v>0</v>
      </c>
      <c r="D3" s="2">
        <v>0</v>
      </c>
      <c r="E3" s="2">
        <v>0</v>
      </c>
      <c r="F3" s="4">
        <v>2.7</v>
      </c>
      <c r="G3" s="2">
        <v>0</v>
      </c>
      <c r="H3" s="2">
        <v>10.72688123</v>
      </c>
      <c r="I3" s="2">
        <v>0</v>
      </c>
    </row>
    <row r="4" spans="1:26" ht="15.75" customHeight="1" x14ac:dyDescent="0.15">
      <c r="A4" s="2" t="s">
        <v>85</v>
      </c>
      <c r="B4" s="2" t="s">
        <v>6</v>
      </c>
      <c r="C4" s="2">
        <v>0</v>
      </c>
      <c r="D4" s="2">
        <v>0</v>
      </c>
      <c r="E4" s="2">
        <v>0</v>
      </c>
      <c r="F4" s="2">
        <v>2.78</v>
      </c>
      <c r="G4" s="2">
        <v>0</v>
      </c>
      <c r="H4" s="2">
        <v>8.4084969239999996</v>
      </c>
      <c r="I4" s="2">
        <v>0</v>
      </c>
    </row>
    <row r="5" spans="1:26" ht="15.75" customHeight="1" x14ac:dyDescent="0.15">
      <c r="A5" s="2" t="s">
        <v>85</v>
      </c>
      <c r="B5" s="2" t="s">
        <v>12</v>
      </c>
      <c r="C5" s="2">
        <v>0</v>
      </c>
      <c r="D5" s="2">
        <v>0</v>
      </c>
      <c r="E5" s="2">
        <v>0</v>
      </c>
      <c r="F5" s="4">
        <v>8.9</v>
      </c>
      <c r="G5" s="2">
        <v>0</v>
      </c>
      <c r="H5" s="2">
        <v>44.500045125910397</v>
      </c>
      <c r="I5" s="2">
        <v>0</v>
      </c>
    </row>
    <row r="6" spans="1:26" ht="15.75" customHeight="1" x14ac:dyDescent="0.15">
      <c r="A6" s="2" t="s">
        <v>85</v>
      </c>
      <c r="B6" s="2" t="s">
        <v>74</v>
      </c>
      <c r="C6" s="2">
        <v>0</v>
      </c>
      <c r="D6" s="2">
        <v>0</v>
      </c>
      <c r="E6" s="2">
        <v>0</v>
      </c>
      <c r="F6" s="4">
        <v>2.2000000000000002</v>
      </c>
      <c r="G6" s="2">
        <v>0</v>
      </c>
      <c r="H6" s="2">
        <v>13.98634348</v>
      </c>
      <c r="I6" s="2">
        <v>0</v>
      </c>
    </row>
    <row r="7" spans="1:26" ht="15.75" customHeight="1" x14ac:dyDescent="0.15">
      <c r="A7" s="2" t="s">
        <v>85</v>
      </c>
      <c r="B7" s="2" t="s">
        <v>75</v>
      </c>
      <c r="C7" s="2">
        <v>2068.333333333333</v>
      </c>
      <c r="D7" s="2">
        <v>1.4620186811643498E+20</v>
      </c>
      <c r="E7" s="2">
        <v>0.14620186811643499</v>
      </c>
      <c r="F7" s="4">
        <v>8.9599999999999991</v>
      </c>
      <c r="G7" s="2">
        <v>1.3099687383232574</v>
      </c>
      <c r="H7" s="2">
        <v>6.090112618</v>
      </c>
      <c r="I7" s="2">
        <v>7.97785714244801</v>
      </c>
    </row>
    <row r="8" spans="1:26" ht="15.75" customHeight="1" x14ac:dyDescent="0.15">
      <c r="A8" s="2" t="s">
        <v>85</v>
      </c>
      <c r="B8" s="2" t="s">
        <v>82</v>
      </c>
      <c r="C8" s="2">
        <v>0</v>
      </c>
      <c r="D8" s="2">
        <v>0</v>
      </c>
      <c r="E8" s="2">
        <v>0</v>
      </c>
      <c r="F8" s="2">
        <v>9.69</v>
      </c>
      <c r="G8" s="2">
        <v>0</v>
      </c>
      <c r="H8" s="2">
        <v>24.90282413547882</v>
      </c>
      <c r="I8" s="2">
        <v>0</v>
      </c>
    </row>
    <row r="9" spans="1:26" ht="15.75" customHeight="1" x14ac:dyDescent="0.15">
      <c r="A9" s="2" t="s">
        <v>85</v>
      </c>
      <c r="B9" s="2" t="s">
        <v>22</v>
      </c>
      <c r="C9" s="2">
        <v>26</v>
      </c>
      <c r="D9" s="2">
        <v>1.8378317023500291E+18</v>
      </c>
      <c r="E9" s="2">
        <v>1.8378317023500291E-3</v>
      </c>
      <c r="F9" s="2">
        <v>18.63</v>
      </c>
      <c r="G9" s="2">
        <v>3.4238804614781043E-2</v>
      </c>
      <c r="H9" s="2">
        <v>19053.34</v>
      </c>
      <c r="I9" s="2">
        <v>652.36358551899229</v>
      </c>
    </row>
    <row r="10" spans="1:26" ht="15.75" customHeight="1" x14ac:dyDescent="0.15">
      <c r="A10" s="2" t="s">
        <v>85</v>
      </c>
      <c r="B10" s="2" t="s">
        <v>84</v>
      </c>
      <c r="C10" s="2">
        <v>130</v>
      </c>
      <c r="D10" s="2">
        <v>9.189158511750144E+18</v>
      </c>
      <c r="E10" s="2">
        <v>9.1891585117501434E-3</v>
      </c>
      <c r="F10" s="4">
        <v>2.33</v>
      </c>
      <c r="G10" s="2">
        <v>2.1410739332377835E-2</v>
      </c>
      <c r="H10" s="2">
        <v>4.1309515379999997</v>
      </c>
      <c r="I10" s="2">
        <v>8.8446726574803305E-2</v>
      </c>
    </row>
    <row r="11" spans="1:26" ht="15.75" customHeight="1" x14ac:dyDescent="0.15">
      <c r="A11" s="2" t="s">
        <v>85</v>
      </c>
      <c r="B11" s="2" t="s">
        <v>28</v>
      </c>
      <c r="C11" s="2">
        <v>21500</v>
      </c>
      <c r="D11" s="2">
        <v>1.5197454461740623E+21</v>
      </c>
      <c r="E11" s="2">
        <v>1.5197454461740623</v>
      </c>
      <c r="F11" s="4">
        <v>0.96599999999999986</v>
      </c>
      <c r="G11" s="2">
        <v>1.468074101004144</v>
      </c>
      <c r="H11" s="2">
        <v>4.2</v>
      </c>
      <c r="I11" s="2">
        <v>6.165911224217405</v>
      </c>
    </row>
    <row r="12" spans="1:26" ht="15.75" customHeight="1" x14ac:dyDescent="0.15">
      <c r="A12" s="2" t="s">
        <v>85</v>
      </c>
      <c r="B12" s="2" t="s">
        <v>30</v>
      </c>
      <c r="C12" s="2">
        <v>0</v>
      </c>
      <c r="D12" s="2">
        <v>0</v>
      </c>
      <c r="E12" s="2">
        <v>0</v>
      </c>
      <c r="F12" s="4">
        <v>2.29</v>
      </c>
      <c r="G12" s="2">
        <v>0</v>
      </c>
      <c r="H12" s="2">
        <v>308.88877839999998</v>
      </c>
      <c r="I12" s="2">
        <v>0</v>
      </c>
    </row>
    <row r="13" spans="1:26" ht="15.75" customHeight="1" x14ac:dyDescent="0.15">
      <c r="A13" s="2" t="s">
        <v>85</v>
      </c>
      <c r="B13" s="2" t="s">
        <v>32</v>
      </c>
      <c r="C13" s="2">
        <v>123</v>
      </c>
      <c r="D13" s="2">
        <v>8.6943576688097526E+18</v>
      </c>
      <c r="E13" s="2">
        <v>8.6943576688097522E-3</v>
      </c>
      <c r="F13" s="4">
        <v>3.3299999999999996</v>
      </c>
      <c r="G13" s="2">
        <v>2.8952211037136473E-2</v>
      </c>
      <c r="H13" s="2">
        <v>67.974083140000005</v>
      </c>
      <c r="I13" s="2">
        <v>1.9680000001251403</v>
      </c>
    </row>
    <row r="14" spans="1:26" ht="15.75" customHeight="1" x14ac:dyDescent="0.15">
      <c r="A14" s="2" t="s">
        <v>85</v>
      </c>
      <c r="B14" s="2" t="s">
        <v>36</v>
      </c>
      <c r="C14" s="2">
        <v>244</v>
      </c>
      <c r="D14" s="2">
        <v>1.7247343668207964E+19</v>
      </c>
      <c r="E14" s="2">
        <v>1.7247343668207963E-2</v>
      </c>
      <c r="F14" s="4">
        <v>3.17</v>
      </c>
      <c r="G14" s="2">
        <v>5.4674079428219238E-2</v>
      </c>
      <c r="H14" s="2">
        <v>64.572054300000005</v>
      </c>
      <c r="I14" s="2">
        <v>3.5304176256414861</v>
      </c>
    </row>
    <row r="15" spans="1:26" ht="15.75" customHeight="1" x14ac:dyDescent="0.15">
      <c r="A15" s="2" t="s">
        <v>85</v>
      </c>
      <c r="B15" s="2" t="s">
        <v>38</v>
      </c>
      <c r="C15" s="2">
        <v>3809</v>
      </c>
      <c r="D15" s="2">
        <v>2.6924234439427922E+20</v>
      </c>
      <c r="E15" s="2">
        <v>0.26924234439427924</v>
      </c>
      <c r="F15" s="4">
        <v>2.13</v>
      </c>
      <c r="G15" s="2">
        <v>0.57348619355981478</v>
      </c>
      <c r="H15" s="2">
        <v>2.0464638869999998</v>
      </c>
      <c r="I15" s="2">
        <v>1.1736187848132529</v>
      </c>
    </row>
    <row r="16" spans="1:26" ht="15.75" customHeight="1" x14ac:dyDescent="0.15">
      <c r="A16" s="2" t="s">
        <v>85</v>
      </c>
      <c r="B16" s="2" t="s">
        <v>40</v>
      </c>
      <c r="C16" s="2">
        <v>0</v>
      </c>
      <c r="D16" s="2">
        <v>0</v>
      </c>
      <c r="E16" s="2">
        <v>0</v>
      </c>
      <c r="F16" s="2">
        <v>2</v>
      </c>
      <c r="G16" s="2">
        <v>0</v>
      </c>
      <c r="H16" s="2">
        <v>88.012999603628515</v>
      </c>
      <c r="I16" s="2">
        <v>0</v>
      </c>
    </row>
    <row r="17" spans="1:9" ht="15.75" customHeight="1" x14ac:dyDescent="0.15">
      <c r="A17" s="2" t="s">
        <v>85</v>
      </c>
      <c r="B17" s="2" t="s">
        <v>42</v>
      </c>
      <c r="C17" s="2">
        <v>9.6</v>
      </c>
      <c r="D17" s="2">
        <v>6.7858401317539533E+17</v>
      </c>
      <c r="E17" s="2">
        <v>6.7858401317539532E-4</v>
      </c>
      <c r="F17" s="4">
        <v>2.81</v>
      </c>
      <c r="G17" s="2">
        <v>1.9068210770228609E-3</v>
      </c>
      <c r="H17" s="2">
        <v>37.870563869999998</v>
      </c>
      <c r="I17" s="2">
        <v>7.2212389386056439E-2</v>
      </c>
    </row>
    <row r="18" spans="1:9" ht="15.75" customHeight="1" x14ac:dyDescent="0.15">
      <c r="A18" s="2" t="s">
        <v>85</v>
      </c>
      <c r="B18" s="2" t="s">
        <v>44</v>
      </c>
      <c r="C18" s="2">
        <v>18.333333333333332</v>
      </c>
      <c r="D18" s="2">
        <v>1.2959069696057897E+18</v>
      </c>
      <c r="E18" s="2">
        <v>1.2959069696057896E-3</v>
      </c>
      <c r="F18" s="2">
        <v>16.7</v>
      </c>
      <c r="G18" s="2">
        <v>2.1641646392416686E-2</v>
      </c>
      <c r="H18" s="2">
        <v>170.8356</v>
      </c>
      <c r="I18" s="2">
        <v>3.6971636464363402</v>
      </c>
    </row>
    <row r="19" spans="1:9" ht="15.75" customHeight="1" x14ac:dyDescent="0.15">
      <c r="A19" s="2" t="s">
        <v>85</v>
      </c>
      <c r="B19" s="2" t="s">
        <v>46</v>
      </c>
      <c r="C19" s="2">
        <v>18.333333333333332</v>
      </c>
      <c r="D19" s="2">
        <v>1.2959069696057897E+18</v>
      </c>
      <c r="E19" s="2">
        <v>1.2959069696057896E-3</v>
      </c>
      <c r="F19" s="4">
        <v>13.699999999999998</v>
      </c>
      <c r="G19" s="2">
        <v>1.7753925483599314E-2</v>
      </c>
      <c r="H19" s="2">
        <v>25.81588696</v>
      </c>
      <c r="I19" s="2">
        <v>0.45833333338086324</v>
      </c>
    </row>
    <row r="20" spans="1:9" ht="15.75" customHeight="1" x14ac:dyDescent="0.15">
      <c r="A20" s="2" t="s">
        <v>85</v>
      </c>
      <c r="B20" s="2" t="s">
        <v>48</v>
      </c>
      <c r="C20" s="2">
        <v>0</v>
      </c>
      <c r="D20" s="2">
        <v>0</v>
      </c>
      <c r="E20" s="2">
        <v>0</v>
      </c>
      <c r="F20" s="4">
        <v>0.93999999999999984</v>
      </c>
      <c r="G20" s="2">
        <v>0</v>
      </c>
      <c r="H20" s="2">
        <v>2.8595214360000001</v>
      </c>
      <c r="I20" s="2">
        <v>0</v>
      </c>
    </row>
    <row r="21" spans="1:9" ht="15.75" customHeight="1" x14ac:dyDescent="0.15">
      <c r="A21" s="2" t="s">
        <v>85</v>
      </c>
      <c r="B21" s="2" t="s">
        <v>50</v>
      </c>
      <c r="C21" s="2">
        <v>0</v>
      </c>
      <c r="D21" s="2">
        <v>0</v>
      </c>
      <c r="E21" s="2">
        <v>0</v>
      </c>
      <c r="F21" s="4">
        <v>4.5</v>
      </c>
      <c r="G21" s="2">
        <v>0</v>
      </c>
      <c r="H21" s="2">
        <v>47.633353710000002</v>
      </c>
      <c r="I21" s="2">
        <v>0</v>
      </c>
    </row>
    <row r="22" spans="1:9" ht="15.75" customHeight="1" x14ac:dyDescent="0.15">
      <c r="A22" s="2" t="s">
        <v>85</v>
      </c>
      <c r="B22" s="2" t="s">
        <v>52</v>
      </c>
      <c r="C22" s="2">
        <v>24</v>
      </c>
      <c r="D22" s="2">
        <v>1.6964600329384883E+18</v>
      </c>
      <c r="E22" s="2">
        <v>1.6964600329384884E-3</v>
      </c>
      <c r="F22" s="4">
        <v>5.2099999999999991</v>
      </c>
      <c r="G22" s="2">
        <v>8.8385567716095237E-3</v>
      </c>
      <c r="H22" s="2">
        <v>43.977832020000001</v>
      </c>
      <c r="I22" s="2">
        <v>0.38870056500107714</v>
      </c>
    </row>
    <row r="23" spans="1:9" ht="15.75" customHeight="1" x14ac:dyDescent="0.15">
      <c r="A23" s="2" t="s">
        <v>85</v>
      </c>
      <c r="B23" s="2" t="s">
        <v>56</v>
      </c>
      <c r="C23" s="2">
        <v>500</v>
      </c>
      <c r="D23" s="2">
        <v>3.534291735288517E+19</v>
      </c>
      <c r="E23" s="2">
        <v>3.5342917352885167E-2</v>
      </c>
      <c r="F23" s="4">
        <v>19.3</v>
      </c>
      <c r="G23" s="2">
        <v>0.6821183049106837</v>
      </c>
      <c r="H23" s="2">
        <v>75.814931139999999</v>
      </c>
      <c r="I23" s="2">
        <v>51.714752316137009</v>
      </c>
    </row>
    <row r="24" spans="1:9" ht="15.75" customHeight="1" x14ac:dyDescent="0.15">
      <c r="A24" s="2" t="s">
        <v>85</v>
      </c>
      <c r="B24" s="2" t="s">
        <v>60</v>
      </c>
      <c r="C24" s="2">
        <v>0</v>
      </c>
      <c r="D24" s="2">
        <v>0</v>
      </c>
      <c r="E24" s="2">
        <v>0</v>
      </c>
      <c r="F24" s="2">
        <v>4.8149999999999995</v>
      </c>
      <c r="G24" s="2">
        <v>0</v>
      </c>
      <c r="H24" s="2">
        <v>1065.070666154757</v>
      </c>
      <c r="I24" s="2">
        <v>0</v>
      </c>
    </row>
    <row r="25" spans="1:9" ht="15.75" customHeight="1" x14ac:dyDescent="0.15">
      <c r="A25" s="2" t="s">
        <v>85</v>
      </c>
      <c r="B25" s="2" t="s">
        <v>62</v>
      </c>
      <c r="C25" s="2">
        <v>0</v>
      </c>
      <c r="D25" s="2">
        <v>0</v>
      </c>
      <c r="E25" s="2">
        <v>0</v>
      </c>
      <c r="F25" s="2">
        <v>6.44</v>
      </c>
      <c r="G25" s="2">
        <v>0</v>
      </c>
      <c r="H25" s="2">
        <v>1008.6373963173792</v>
      </c>
      <c r="I25" s="2">
        <v>0</v>
      </c>
    </row>
    <row r="26" spans="1:9" ht="15.75" customHeight="1" x14ac:dyDescent="0.15">
      <c r="A26" s="2" t="s">
        <v>85</v>
      </c>
      <c r="B26" s="2" t="s">
        <v>64</v>
      </c>
      <c r="C26" s="2">
        <v>0</v>
      </c>
      <c r="D26" s="2">
        <v>0</v>
      </c>
      <c r="E26" s="2">
        <v>0</v>
      </c>
      <c r="F26" s="2">
        <v>7.6849999999999996</v>
      </c>
      <c r="G26" s="2">
        <v>0</v>
      </c>
      <c r="H26" s="2">
        <v>1015.9485375966532</v>
      </c>
      <c r="I26" s="2">
        <v>0</v>
      </c>
    </row>
    <row r="27" spans="1:9" ht="15.75" customHeight="1" x14ac:dyDescent="0.15">
      <c r="A27" s="2" t="s">
        <v>86</v>
      </c>
      <c r="B27" s="2" t="s">
        <v>2</v>
      </c>
      <c r="C27" s="2">
        <v>0</v>
      </c>
      <c r="D27" s="2">
        <v>0</v>
      </c>
      <c r="E27" s="2">
        <v>0</v>
      </c>
      <c r="F27" s="4">
        <v>1.9999999999999998</v>
      </c>
      <c r="G27" s="2">
        <v>0</v>
      </c>
      <c r="H27" s="2">
        <v>254.6479089</v>
      </c>
      <c r="I27" s="2">
        <v>0</v>
      </c>
    </row>
    <row r="28" spans="1:9" ht="15.75" customHeight="1" x14ac:dyDescent="0.15">
      <c r="A28" s="2" t="s">
        <v>86</v>
      </c>
      <c r="B28" s="2" t="s">
        <v>4</v>
      </c>
      <c r="C28" s="2">
        <v>0</v>
      </c>
      <c r="D28" s="2">
        <v>0</v>
      </c>
      <c r="E28" s="2">
        <v>0</v>
      </c>
      <c r="F28" s="4">
        <v>2.7</v>
      </c>
      <c r="G28" s="2">
        <v>0</v>
      </c>
      <c r="H28" s="2">
        <v>10.72688123</v>
      </c>
      <c r="I28" s="2">
        <v>0</v>
      </c>
    </row>
    <row r="29" spans="1:9" ht="15.75" customHeight="1" x14ac:dyDescent="0.15">
      <c r="A29" s="2" t="s">
        <v>86</v>
      </c>
      <c r="B29" s="2" t="s">
        <v>6</v>
      </c>
      <c r="C29" s="2">
        <v>0</v>
      </c>
      <c r="D29" s="2">
        <v>4.735950925286613E+19</v>
      </c>
      <c r="E29" s="2">
        <v>4.7359509252866132E-2</v>
      </c>
      <c r="F29" s="2">
        <v>2.78</v>
      </c>
      <c r="G29" s="2">
        <v>0.13165943572296784</v>
      </c>
      <c r="H29" s="2">
        <v>8.4084969239999996</v>
      </c>
      <c r="I29" s="2">
        <v>1.1070579602921509</v>
      </c>
    </row>
    <row r="30" spans="1:9" ht="15.75" customHeight="1" x14ac:dyDescent="0.15">
      <c r="A30" s="2" t="s">
        <v>86</v>
      </c>
      <c r="B30" s="2" t="s">
        <v>12</v>
      </c>
      <c r="C30" s="2">
        <v>2</v>
      </c>
      <c r="D30" s="2">
        <v>0</v>
      </c>
      <c r="E30" s="2">
        <v>0</v>
      </c>
      <c r="F30" s="4">
        <v>8.9</v>
      </c>
      <c r="G30" s="2">
        <v>0</v>
      </c>
      <c r="H30" s="2">
        <v>44.500045125910397</v>
      </c>
      <c r="I30" s="2">
        <v>0</v>
      </c>
    </row>
    <row r="31" spans="1:9" ht="15.75" customHeight="1" x14ac:dyDescent="0.15">
      <c r="A31" s="2" t="s">
        <v>86</v>
      </c>
      <c r="B31" s="2" t="s">
        <v>74</v>
      </c>
      <c r="C31" s="2">
        <v>0</v>
      </c>
      <c r="D31" s="2">
        <v>0</v>
      </c>
      <c r="E31" s="2">
        <v>0</v>
      </c>
      <c r="F31" s="4">
        <v>2.2000000000000002</v>
      </c>
      <c r="G31" s="2">
        <v>0</v>
      </c>
      <c r="H31" s="2">
        <v>13.98634348</v>
      </c>
      <c r="I31" s="2">
        <v>0</v>
      </c>
    </row>
    <row r="32" spans="1:9" ht="15.75" customHeight="1" x14ac:dyDescent="0.15">
      <c r="A32" s="2" t="s">
        <v>86</v>
      </c>
      <c r="B32" s="2" t="s">
        <v>75</v>
      </c>
      <c r="C32" s="2">
        <v>340</v>
      </c>
      <c r="D32" s="2">
        <v>0</v>
      </c>
      <c r="E32" s="2">
        <v>0</v>
      </c>
      <c r="F32" s="4">
        <v>8.9599999999999991</v>
      </c>
      <c r="G32" s="2">
        <v>0</v>
      </c>
      <c r="H32" s="2">
        <v>6.090112618</v>
      </c>
      <c r="I32" s="2">
        <v>0</v>
      </c>
    </row>
    <row r="33" spans="1:9" ht="15.75" customHeight="1" x14ac:dyDescent="0.15">
      <c r="A33" s="2" t="s">
        <v>86</v>
      </c>
      <c r="B33" s="2" t="s">
        <v>82</v>
      </c>
      <c r="C33" s="2">
        <v>0</v>
      </c>
      <c r="D33" s="2">
        <v>0</v>
      </c>
      <c r="E33" s="2">
        <v>0</v>
      </c>
      <c r="F33" s="2">
        <v>9.69</v>
      </c>
      <c r="G33" s="2">
        <v>0</v>
      </c>
      <c r="H33" s="2">
        <v>24.90282413547882</v>
      </c>
      <c r="I33" s="2">
        <v>0</v>
      </c>
    </row>
    <row r="34" spans="1:9" ht="15.75" customHeight="1" x14ac:dyDescent="0.15">
      <c r="A34" s="2" t="s">
        <v>86</v>
      </c>
      <c r="B34" s="2" t="s">
        <v>22</v>
      </c>
      <c r="C34" s="2">
        <v>0</v>
      </c>
      <c r="D34" s="2">
        <v>0</v>
      </c>
      <c r="E34" s="2">
        <v>0</v>
      </c>
      <c r="F34" s="2">
        <v>18.63</v>
      </c>
      <c r="G34" s="2">
        <v>0</v>
      </c>
      <c r="H34" s="2">
        <v>19053.34</v>
      </c>
      <c r="I34" s="2">
        <v>0</v>
      </c>
    </row>
    <row r="35" spans="1:9" ht="15.75" customHeight="1" x14ac:dyDescent="0.15">
      <c r="A35" s="2" t="s">
        <v>86</v>
      </c>
      <c r="B35" s="2" t="s">
        <v>84</v>
      </c>
      <c r="C35" s="2">
        <v>0</v>
      </c>
      <c r="D35" s="2">
        <v>0</v>
      </c>
      <c r="E35" s="2">
        <v>0</v>
      </c>
      <c r="F35" s="4">
        <v>2.33</v>
      </c>
      <c r="G35" s="2">
        <v>0</v>
      </c>
      <c r="H35" s="2">
        <v>4.1309515379999997</v>
      </c>
      <c r="I35" s="2">
        <v>0</v>
      </c>
    </row>
    <row r="36" spans="1:9" ht="15.75" customHeight="1" x14ac:dyDescent="0.15">
      <c r="A36" s="2" t="s">
        <v>86</v>
      </c>
      <c r="B36" s="2" t="s">
        <v>28</v>
      </c>
      <c r="C36" s="2">
        <v>1000</v>
      </c>
      <c r="D36" s="2">
        <v>4.2411500823462209E+20</v>
      </c>
      <c r="E36" s="2">
        <v>0.42411500823462212</v>
      </c>
      <c r="F36" s="4">
        <v>0.96599999999999986</v>
      </c>
      <c r="G36" s="2">
        <v>0.40969509795464493</v>
      </c>
      <c r="H36" s="2">
        <v>4.2</v>
      </c>
      <c r="I36" s="2">
        <v>1.7207194114095088</v>
      </c>
    </row>
    <row r="37" spans="1:9" ht="15.75" customHeight="1" x14ac:dyDescent="0.15">
      <c r="A37" s="2" t="s">
        <v>86</v>
      </c>
      <c r="B37" s="2" t="s">
        <v>30</v>
      </c>
      <c r="C37" s="2">
        <v>0</v>
      </c>
      <c r="D37" s="2">
        <v>0</v>
      </c>
      <c r="E37" s="2">
        <v>0</v>
      </c>
      <c r="F37" s="4">
        <v>2.29</v>
      </c>
      <c r="G37" s="2">
        <v>0</v>
      </c>
      <c r="H37" s="2">
        <v>308.88877839999998</v>
      </c>
      <c r="I37" s="2">
        <v>0</v>
      </c>
    </row>
    <row r="38" spans="1:9" ht="15.75" customHeight="1" x14ac:dyDescent="0.15">
      <c r="A38" s="2" t="s">
        <v>86</v>
      </c>
      <c r="B38" s="2" t="s">
        <v>32</v>
      </c>
      <c r="C38" s="2">
        <v>0</v>
      </c>
      <c r="D38" s="2">
        <v>0</v>
      </c>
      <c r="E38" s="2">
        <v>0</v>
      </c>
      <c r="F38" s="4">
        <v>3.3299999999999996</v>
      </c>
      <c r="G38" s="2">
        <v>0</v>
      </c>
      <c r="H38" s="2">
        <v>67.974083140000005</v>
      </c>
      <c r="I38" s="2">
        <v>0</v>
      </c>
    </row>
    <row r="39" spans="1:9" ht="15.75" customHeight="1" x14ac:dyDescent="0.15">
      <c r="A39" s="2" t="s">
        <v>86</v>
      </c>
      <c r="B39" s="2" t="s">
        <v>36</v>
      </c>
      <c r="C39" s="2">
        <v>0</v>
      </c>
      <c r="D39" s="2">
        <v>8.4823001646924415E+19</v>
      </c>
      <c r="E39" s="2">
        <v>8.4823001646924412E-2</v>
      </c>
      <c r="F39" s="4">
        <v>3.17</v>
      </c>
      <c r="G39" s="2">
        <v>0.26888891522075037</v>
      </c>
      <c r="H39" s="2">
        <v>64.572054300000005</v>
      </c>
      <c r="I39" s="2">
        <v>17.362709634302391</v>
      </c>
    </row>
    <row r="40" spans="1:9" ht="15.75" customHeight="1" x14ac:dyDescent="0.15">
      <c r="A40" s="2" t="s">
        <v>86</v>
      </c>
      <c r="B40" s="2" t="s">
        <v>38</v>
      </c>
      <c r="C40" s="2">
        <v>10</v>
      </c>
      <c r="D40" s="2">
        <v>7.9874993217520484E+19</v>
      </c>
      <c r="E40" s="2">
        <v>7.9874993217520479E-2</v>
      </c>
      <c r="F40" s="4">
        <v>2.13</v>
      </c>
      <c r="G40" s="2">
        <v>0.17013373555331862</v>
      </c>
      <c r="H40" s="2">
        <v>2.0464638869999998</v>
      </c>
      <c r="I40" s="2">
        <v>0.34817254577027451</v>
      </c>
    </row>
    <row r="41" spans="1:9" ht="15.75" customHeight="1" x14ac:dyDescent="0.15">
      <c r="A41" s="2" t="s">
        <v>86</v>
      </c>
      <c r="B41" s="2" t="s">
        <v>40</v>
      </c>
      <c r="C41" s="2">
        <v>300</v>
      </c>
      <c r="D41" s="2">
        <v>0</v>
      </c>
      <c r="E41" s="2">
        <v>0</v>
      </c>
      <c r="F41" s="2">
        <v>2</v>
      </c>
      <c r="G41" s="2">
        <v>0</v>
      </c>
      <c r="H41" s="2">
        <v>88.012999603628515</v>
      </c>
      <c r="I41" s="2">
        <v>0</v>
      </c>
    </row>
    <row r="42" spans="1:9" ht="15.75" customHeight="1" x14ac:dyDescent="0.15">
      <c r="A42" s="2" t="s">
        <v>86</v>
      </c>
      <c r="B42" s="2" t="s">
        <v>42</v>
      </c>
      <c r="C42" s="2">
        <v>0</v>
      </c>
      <c r="D42" s="2">
        <v>1.7671458676442588E+18</v>
      </c>
      <c r="E42" s="2">
        <v>1.7671458676442589E-3</v>
      </c>
      <c r="F42" s="4">
        <v>2.81</v>
      </c>
      <c r="G42" s="2">
        <v>4.9656798880803677E-3</v>
      </c>
      <c r="H42" s="2">
        <v>37.870563869999998</v>
      </c>
      <c r="I42" s="2">
        <v>0.188053097359522</v>
      </c>
    </row>
    <row r="43" spans="1:9" ht="15.75" customHeight="1" x14ac:dyDescent="0.15">
      <c r="A43" s="2" t="s">
        <v>86</v>
      </c>
      <c r="B43" s="2" t="s">
        <v>44</v>
      </c>
      <c r="C43" s="2">
        <v>15</v>
      </c>
      <c r="D43" s="2">
        <v>0</v>
      </c>
      <c r="E43" s="2">
        <v>0</v>
      </c>
      <c r="F43" s="2">
        <v>16.7</v>
      </c>
      <c r="G43" s="2">
        <v>0</v>
      </c>
      <c r="H43" s="2">
        <v>170.8356</v>
      </c>
      <c r="I43" s="2">
        <v>0</v>
      </c>
    </row>
    <row r="44" spans="1:9" ht="15.75" customHeight="1" x14ac:dyDescent="0.15">
      <c r="A44" s="2" t="s">
        <v>86</v>
      </c>
      <c r="B44" s="2" t="s">
        <v>46</v>
      </c>
      <c r="C44" s="2">
        <v>15</v>
      </c>
      <c r="D44" s="2">
        <v>0</v>
      </c>
      <c r="E44" s="2">
        <v>0</v>
      </c>
      <c r="F44" s="4">
        <v>13.699999999999998</v>
      </c>
      <c r="G44" s="2">
        <v>0</v>
      </c>
      <c r="H44" s="2">
        <v>25.81588696</v>
      </c>
      <c r="I44" s="2">
        <v>0</v>
      </c>
    </row>
    <row r="45" spans="1:9" ht="15.75" customHeight="1" x14ac:dyDescent="0.15">
      <c r="A45" s="2" t="s">
        <v>86</v>
      </c>
      <c r="B45" s="2" t="s">
        <v>48</v>
      </c>
      <c r="C45" s="2">
        <v>0</v>
      </c>
      <c r="D45" s="2">
        <v>0</v>
      </c>
      <c r="E45" s="2">
        <v>0</v>
      </c>
      <c r="F45" s="4">
        <v>0.93999999999999984</v>
      </c>
      <c r="G45" s="2">
        <v>0</v>
      </c>
      <c r="H45" s="2">
        <v>2.8595214360000001</v>
      </c>
      <c r="I45" s="2">
        <v>0</v>
      </c>
    </row>
    <row r="46" spans="1:9" ht="15.75" customHeight="1" x14ac:dyDescent="0.15">
      <c r="A46" s="2" t="s">
        <v>86</v>
      </c>
      <c r="B46" s="2" t="s">
        <v>50</v>
      </c>
      <c r="C46" s="2">
        <v>0</v>
      </c>
      <c r="D46" s="2">
        <v>0</v>
      </c>
      <c r="E46" s="2">
        <v>0</v>
      </c>
      <c r="F46" s="4">
        <v>4.5</v>
      </c>
      <c r="G46" s="2">
        <v>0</v>
      </c>
      <c r="H46" s="2">
        <v>47.633353710000002</v>
      </c>
      <c r="I46" s="2">
        <v>0</v>
      </c>
    </row>
    <row r="47" spans="1:9" ht="15.75" customHeight="1" x14ac:dyDescent="0.15">
      <c r="A47" s="2" t="s">
        <v>86</v>
      </c>
      <c r="B47" s="2" t="s">
        <v>52</v>
      </c>
      <c r="C47" s="2">
        <v>0</v>
      </c>
      <c r="D47" s="2">
        <v>2.8274333882308137E+18</v>
      </c>
      <c r="E47" s="2">
        <v>2.8274333882308137E-3</v>
      </c>
      <c r="F47" s="4">
        <v>5.2099999999999991</v>
      </c>
      <c r="G47" s="2">
        <v>1.4730927952682537E-2</v>
      </c>
      <c r="H47" s="2">
        <v>43.977832020000001</v>
      </c>
      <c r="I47" s="2">
        <v>0.64783427500179513</v>
      </c>
    </row>
    <row r="48" spans="1:9" ht="15.75" customHeight="1" x14ac:dyDescent="0.15">
      <c r="A48" s="2" t="s">
        <v>86</v>
      </c>
      <c r="B48" s="2" t="s">
        <v>56</v>
      </c>
      <c r="C48" s="2">
        <v>0</v>
      </c>
      <c r="D48" s="2">
        <v>2.1205750411731104E+19</v>
      </c>
      <c r="E48" s="2">
        <v>2.1205750411731103E-2</v>
      </c>
      <c r="F48" s="4">
        <v>19.3</v>
      </c>
      <c r="G48" s="2">
        <v>0.40927098294641029</v>
      </c>
      <c r="H48" s="2">
        <v>75.814931139999999</v>
      </c>
      <c r="I48" s="2">
        <v>31.02885138968221</v>
      </c>
    </row>
    <row r="49" spans="1:9" ht="15.75" customHeight="1" x14ac:dyDescent="0.15">
      <c r="A49" s="2" t="s">
        <v>86</v>
      </c>
      <c r="B49" s="2" t="s">
        <v>58</v>
      </c>
      <c r="C49" s="2">
        <v>0</v>
      </c>
      <c r="D49" s="2" t="s">
        <v>77</v>
      </c>
      <c r="E49" s="2" t="s">
        <v>77</v>
      </c>
      <c r="F49" s="4" t="s">
        <v>77</v>
      </c>
      <c r="G49" s="2" t="s">
        <v>77</v>
      </c>
      <c r="H49" s="2">
        <v>365.30540000000002</v>
      </c>
      <c r="I49" s="2">
        <v>51643.834243050638</v>
      </c>
    </row>
    <row r="50" spans="1:9" ht="15.75" customHeight="1" x14ac:dyDescent="0.15">
      <c r="A50" s="2" t="s">
        <v>86</v>
      </c>
      <c r="B50" s="2" t="s">
        <v>60</v>
      </c>
      <c r="C50" s="2">
        <v>0</v>
      </c>
      <c r="D50" s="2">
        <v>0</v>
      </c>
      <c r="E50" s="2">
        <v>0</v>
      </c>
      <c r="F50" s="2">
        <v>4.8149999999999995</v>
      </c>
      <c r="G50" s="2">
        <v>0</v>
      </c>
      <c r="H50" s="2">
        <v>1065.070666154757</v>
      </c>
      <c r="I50" s="2">
        <v>0</v>
      </c>
    </row>
    <row r="51" spans="1:9" ht="13" x14ac:dyDescent="0.15">
      <c r="A51" s="2" t="s">
        <v>86</v>
      </c>
      <c r="B51" s="2" t="s">
        <v>62</v>
      </c>
      <c r="C51" s="2">
        <v>0</v>
      </c>
      <c r="D51" s="2">
        <v>0</v>
      </c>
      <c r="E51" s="2">
        <v>0</v>
      </c>
      <c r="F51" s="2">
        <v>6.44</v>
      </c>
      <c r="G51" s="2">
        <v>0</v>
      </c>
      <c r="H51" s="2">
        <v>1008.6373963173792</v>
      </c>
      <c r="I51" s="2">
        <v>0</v>
      </c>
    </row>
    <row r="52" spans="1:9" ht="13" x14ac:dyDescent="0.15">
      <c r="A52" s="2" t="s">
        <v>86</v>
      </c>
      <c r="B52" s="2" t="s">
        <v>64</v>
      </c>
      <c r="C52" s="2">
        <v>0</v>
      </c>
      <c r="D52" s="2">
        <v>0</v>
      </c>
      <c r="E52" s="2">
        <v>0</v>
      </c>
      <c r="F52" s="2">
        <v>7.6849999999999996</v>
      </c>
      <c r="G52" s="2">
        <v>0</v>
      </c>
      <c r="H52" s="2">
        <v>1015.9485375966532</v>
      </c>
      <c r="I52" s="2">
        <v>0</v>
      </c>
    </row>
    <row r="53" spans="1:9" ht="13" x14ac:dyDescent="0.15">
      <c r="A53" s="2" t="s">
        <v>83</v>
      </c>
      <c r="B53" s="2" t="s">
        <v>4</v>
      </c>
      <c r="C53" s="2">
        <v>80</v>
      </c>
      <c r="D53" s="2">
        <v>5.6548667764616274E+18</v>
      </c>
      <c r="E53" s="2">
        <v>5.6548667764616273E-3</v>
      </c>
      <c r="F53" s="4">
        <v>2.7</v>
      </c>
      <c r="G53" s="2">
        <v>1.5268140296446395E-2</v>
      </c>
      <c r="H53" s="2">
        <v>10.72688123</v>
      </c>
      <c r="I53" s="2">
        <v>0.16377952756295747</v>
      </c>
    </row>
    <row r="54" spans="1:9" ht="13" x14ac:dyDescent="0.15">
      <c r="A54" s="2" t="s">
        <v>83</v>
      </c>
      <c r="B54" s="2" t="s">
        <v>6</v>
      </c>
      <c r="C54" s="2">
        <v>600</v>
      </c>
      <c r="D54" s="2">
        <v>4.2411500823462207E+19</v>
      </c>
      <c r="E54" s="2">
        <v>4.2411500823462206E-2</v>
      </c>
      <c r="F54" s="2">
        <v>2.78</v>
      </c>
      <c r="G54" s="2">
        <v>0.11790397228922492</v>
      </c>
      <c r="H54" s="2">
        <v>8.4084969239999996</v>
      </c>
      <c r="I54" s="2">
        <v>0.99139518832132889</v>
      </c>
    </row>
    <row r="55" spans="1:9" ht="13" x14ac:dyDescent="0.15">
      <c r="A55" s="2" t="s">
        <v>83</v>
      </c>
      <c r="B55" s="2" t="s">
        <v>15</v>
      </c>
      <c r="C55" s="2">
        <v>3200</v>
      </c>
      <c r="D55" s="2">
        <v>2.2619467105846513E+20</v>
      </c>
      <c r="E55" s="2">
        <v>0.22619467105846514</v>
      </c>
      <c r="F55" s="4">
        <v>8.9599999999999991</v>
      </c>
      <c r="G55" s="2">
        <v>2.0267042526838472</v>
      </c>
      <c r="H55" s="2">
        <v>6.090112618</v>
      </c>
      <c r="I55" s="2">
        <v>12.342857142224158</v>
      </c>
    </row>
    <row r="56" spans="1:9" ht="13" x14ac:dyDescent="0.15">
      <c r="A56" s="2" t="s">
        <v>83</v>
      </c>
      <c r="B56" s="2" t="s">
        <v>88</v>
      </c>
      <c r="C56" s="2">
        <v>4</v>
      </c>
      <c r="D56" s="2">
        <v>2.8274333882308138E+17</v>
      </c>
      <c r="E56" s="2">
        <v>2.8274333882308137E-4</v>
      </c>
      <c r="G56" s="2">
        <v>0</v>
      </c>
      <c r="H56" s="2">
        <v>24.90282413547882</v>
      </c>
      <c r="I56" s="2">
        <v>0</v>
      </c>
    </row>
    <row r="57" spans="1:9" ht="13" x14ac:dyDescent="0.15">
      <c r="A57" s="2" t="s">
        <v>83</v>
      </c>
      <c r="B57" s="2" t="s">
        <v>18</v>
      </c>
      <c r="C57" s="2">
        <v>20</v>
      </c>
      <c r="D57" s="2">
        <v>1.4137166941154068E+18</v>
      </c>
      <c r="E57" s="2">
        <v>1.4137166941154068E-3</v>
      </c>
      <c r="F57" s="2">
        <v>6</v>
      </c>
      <c r="G57" s="2">
        <v>8.4823001646924419E-3</v>
      </c>
      <c r="H57" s="2">
        <v>196.31</v>
      </c>
      <c r="I57" s="2">
        <v>1.6651603453307733</v>
      </c>
    </row>
    <row r="58" spans="1:9" ht="13" x14ac:dyDescent="0.15">
      <c r="A58" s="2" t="s">
        <v>83</v>
      </c>
      <c r="B58" s="2" t="s">
        <v>28</v>
      </c>
      <c r="C58" s="2">
        <v>11500</v>
      </c>
      <c r="D58" s="2">
        <v>8.1288709911635899E+20</v>
      </c>
      <c r="E58" s="2">
        <v>0.81288709911635904</v>
      </c>
      <c r="F58" s="4">
        <v>0.96599999999999986</v>
      </c>
      <c r="G58" s="2">
        <v>0.7852489377464027</v>
      </c>
      <c r="H58" s="2">
        <v>4.2</v>
      </c>
      <c r="I58" s="2">
        <v>3.2980455385348915</v>
      </c>
    </row>
    <row r="59" spans="1:9" ht="13" x14ac:dyDescent="0.15">
      <c r="A59" s="2" t="s">
        <v>83</v>
      </c>
      <c r="B59" s="2" t="s">
        <v>36</v>
      </c>
      <c r="C59" s="2">
        <v>3260</v>
      </c>
      <c r="D59" s="2">
        <v>2.3043582114081132E+20</v>
      </c>
      <c r="E59" s="2">
        <v>0.23043582114081132</v>
      </c>
      <c r="F59" s="4">
        <v>3.17</v>
      </c>
      <c r="G59" s="2">
        <v>0.73048155301637185</v>
      </c>
      <c r="H59" s="2">
        <v>64.572054300000005</v>
      </c>
      <c r="I59" s="2">
        <v>47.168694506521497</v>
      </c>
    </row>
    <row r="60" spans="1:9" ht="13" x14ac:dyDescent="0.15">
      <c r="A60" s="2" t="s">
        <v>83</v>
      </c>
      <c r="B60" s="2" t="s">
        <v>38</v>
      </c>
      <c r="C60" s="2">
        <v>5120</v>
      </c>
      <c r="D60" s="2">
        <v>3.6191147369354415E+20</v>
      </c>
      <c r="E60" s="2">
        <v>0.36191147369354415</v>
      </c>
      <c r="F60" s="4">
        <v>2.13</v>
      </c>
      <c r="G60" s="2">
        <v>0.77087143896724897</v>
      </c>
      <c r="H60" s="2">
        <v>2.0464638869999998</v>
      </c>
      <c r="I60" s="2">
        <v>1.5775605613661994</v>
      </c>
    </row>
    <row r="61" spans="1:9" ht="13" x14ac:dyDescent="0.15">
      <c r="A61" s="2" t="s">
        <v>83</v>
      </c>
      <c r="B61" s="2" t="s">
        <v>42</v>
      </c>
      <c r="C61" s="2">
        <v>1000</v>
      </c>
      <c r="D61" s="2">
        <v>7.068583470577034E+19</v>
      </c>
      <c r="E61" s="2">
        <v>7.0685834705770334E-2</v>
      </c>
      <c r="F61" s="4">
        <v>2.81</v>
      </c>
      <c r="G61" s="2">
        <v>0.19862719552321464</v>
      </c>
      <c r="H61" s="2">
        <v>37.870563869999998</v>
      </c>
      <c r="I61" s="2">
        <v>7.5221238943808775</v>
      </c>
    </row>
    <row r="62" spans="1:9" ht="13" x14ac:dyDescent="0.15">
      <c r="A62" s="2" t="s">
        <v>83</v>
      </c>
      <c r="B62" s="2" t="s">
        <v>52</v>
      </c>
      <c r="C62" s="2">
        <v>230</v>
      </c>
      <c r="D62" s="2">
        <v>1.6257741982327181E+19</v>
      </c>
      <c r="E62" s="2">
        <v>1.6257741982327181E-2</v>
      </c>
      <c r="F62" s="4">
        <v>5.2099999999999991</v>
      </c>
      <c r="G62" s="2">
        <v>8.47028357279246E-2</v>
      </c>
      <c r="H62" s="2">
        <v>43.977832020000001</v>
      </c>
      <c r="I62" s="2">
        <v>3.7250470812603225</v>
      </c>
    </row>
    <row r="64" spans="1:9" ht="13" x14ac:dyDescent="0.15">
      <c r="H64" s="2" t="s">
        <v>89</v>
      </c>
      <c r="I64" s="2">
        <v>860.45706137246452</v>
      </c>
    </row>
    <row r="65" spans="8:8" ht="13" x14ac:dyDescent="0.15">
      <c r="H65" s="2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Glossary</vt:lpstr>
      <vt:lpstr>BG1</vt:lpstr>
      <vt:lpstr>BG2</vt:lpstr>
      <vt:lpstr>VG1</vt:lpstr>
      <vt:lpstr>VG2</vt:lpstr>
      <vt:lpstr>VG3</vt:lpstr>
      <vt:lpstr>3D13D2</vt:lpstr>
      <vt:lpstr>IGZO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Grey-Stewart, Danielle</cp:lastModifiedBy>
  <dcterms:created xsi:type="dcterms:W3CDTF">2026-09-08T19:11:39Z</dcterms:created>
  <dcterms:modified xsi:type="dcterms:W3CDTF">2026-09-08T19:13:51Z</dcterms:modified>
</cp:coreProperties>
</file>