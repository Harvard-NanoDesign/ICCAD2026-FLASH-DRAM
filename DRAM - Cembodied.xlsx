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<sst xmlns="http://schemas.openxmlformats.org/spreadsheetml/2006/main" count="19" uniqueCount="19">
  <si>
    <t>DRAM single die</t>
  </si>
  <si>
    <t>HBM</t>
  </si>
  <si>
    <t>Configuration</t>
  </si>
  <si>
    <t>BG1</t>
  </si>
  <si>
    <t>BG2</t>
  </si>
  <si>
    <t>VG1</t>
  </si>
  <si>
    <t>VG2</t>
  </si>
  <si>
    <t>VG3</t>
  </si>
  <si>
    <t>3D1</t>
  </si>
  <si>
    <t>3D2</t>
  </si>
  <si>
    <t>IGZO</t>
  </si>
  <si>
    <t>HBMB</t>
  </si>
  <si>
    <t>HBMV1</t>
  </si>
  <si>
    <t>HBMV2</t>
  </si>
  <si>
    <t>EPW</t>
  </si>
  <si>
    <t>MPW</t>
  </si>
  <si>
    <t>GPW</t>
  </si>
  <si>
    <t>TOTAL (kgCO2e/wafer)</t>
  </si>
  <si>
    <t>TOTAL (kgCO2e/stack)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</si>
</sst>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"/>
    <numFmt numFmtId="165" formatCode="0.00000"/>
  </numFmts>
  <fonts count="3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CE5CD"/>
        <bgColor rgb="FFFCE5CD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center" shrinkToFit="0" vertical="bottom" wrapText="1"/>
    </xf>
    <xf borderId="0" fillId="0" fontId="2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1" numFmtId="2" xfId="0" applyAlignment="1" applyFont="1" applyNumberFormat="1">
      <alignment horizontal="right" vertical="bottom"/>
    </xf>
    <xf borderId="0" fillId="0" fontId="1" numFmtId="165" xfId="0" applyAlignment="1" applyFont="1" applyNumberFormat="1">
      <alignment horizontal="right"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  <col customWidth="1" min="10" max="10" width="19.0"/>
  </cols>
  <sheetData>
    <row r="1">
      <c r="A1" s="1"/>
      <c r="B1" s="2" t="s">
        <v>0</v>
      </c>
      <c r="J1" s="1"/>
      <c r="K1" s="2" t="s">
        <v>1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3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1"/>
      <c r="K2" s="2" t="s">
        <v>11</v>
      </c>
      <c r="L2" s="2" t="s">
        <v>12</v>
      </c>
      <c r="M2" s="2" t="s">
        <v>13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3" t="s">
        <v>14</v>
      </c>
      <c r="B3" s="4">
        <v>254.233404794</v>
      </c>
      <c r="C3" s="4">
        <v>263.406738061</v>
      </c>
      <c r="D3" s="4">
        <v>253.84469838299998</v>
      </c>
      <c r="E3" s="4">
        <v>395.01369841299993</v>
      </c>
      <c r="F3" s="4">
        <v>394.4403651129999</v>
      </c>
      <c r="G3" s="4">
        <v>520.1750952136</v>
      </c>
      <c r="H3" s="4">
        <v>432.1110952136</v>
      </c>
      <c r="I3" s="4">
        <v>249.578825436</v>
      </c>
      <c r="J3" s="1"/>
      <c r="K3" s="5">
        <v>3.5817277609765874</v>
      </c>
      <c r="L3" s="5">
        <v>3.498645968119552</v>
      </c>
      <c r="M3" s="5">
        <v>5.345936685921997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3" t="s">
        <v>15</v>
      </c>
      <c r="B4" s="6">
        <v>37.38299202017498</v>
      </c>
      <c r="C4" s="6">
        <v>36.81232710320848</v>
      </c>
      <c r="D4" s="6">
        <v>37.3242671971975</v>
      </c>
      <c r="E4" s="6">
        <v>71.0565164660563</v>
      </c>
      <c r="F4" s="6">
        <v>71.0080144463563</v>
      </c>
      <c r="G4" s="6">
        <v>80.24467172665999</v>
      </c>
      <c r="H4" s="6">
        <v>65.71338681231758</v>
      </c>
      <c r="I4" s="6">
        <v>63.20522216120469</v>
      </c>
      <c r="J4" s="1"/>
      <c r="K4" s="5">
        <v>0.6320884569883793</v>
      </c>
      <c r="L4" s="5">
        <v>0.6370771779659892</v>
      </c>
      <c r="M4" s="5">
        <v>0.958844800128132</v>
      </c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3" t="s">
        <v>16</v>
      </c>
      <c r="B5" s="7">
        <v>65.9036742358235</v>
      </c>
      <c r="C5" s="7">
        <v>64.29921618532394</v>
      </c>
      <c r="D5" s="7">
        <v>65.74322843077356</v>
      </c>
      <c r="E5" s="7">
        <v>123.23403882969045</v>
      </c>
      <c r="F5" s="7">
        <v>122.76044385613044</v>
      </c>
      <c r="G5" s="7">
        <v>134.2703781068628</v>
      </c>
      <c r="H5" s="7">
        <v>97.01245087525474</v>
      </c>
      <c r="I5" s="7">
        <v>78.13197669089492</v>
      </c>
      <c r="J5" s="1"/>
      <c r="K5" s="5">
        <v>1.0924010499312888</v>
      </c>
      <c r="L5" s="5">
        <v>1.0892818539766456</v>
      </c>
      <c r="M5" s="5">
        <v>1.6388271954741123</v>
      </c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8" t="s">
        <v>17</v>
      </c>
      <c r="B7" s="4">
        <f t="shared" ref="B7:I7" si="1">sum(B3:B5)</f>
        <v>357.520071</v>
      </c>
      <c r="C7" s="4">
        <f t="shared" si="1"/>
        <v>364.5182813</v>
      </c>
      <c r="D7" s="4">
        <f t="shared" si="1"/>
        <v>356.912194</v>
      </c>
      <c r="E7" s="4">
        <f t="shared" si="1"/>
        <v>589.3042537</v>
      </c>
      <c r="F7" s="4">
        <f t="shared" si="1"/>
        <v>588.2088234</v>
      </c>
      <c r="G7" s="4">
        <f t="shared" si="1"/>
        <v>734.690145</v>
      </c>
      <c r="H7" s="4">
        <f t="shared" si="1"/>
        <v>594.8369329</v>
      </c>
      <c r="I7" s="4">
        <f t="shared" si="1"/>
        <v>390.9160243</v>
      </c>
      <c r="J7" s="8" t="s">
        <v>18</v>
      </c>
      <c r="K7" s="6">
        <f t="shared" ref="K7:M7" si="2">sum(K3:K5)</f>
        <v>5.306217268</v>
      </c>
      <c r="L7" s="6">
        <f t="shared" si="2"/>
        <v>5.225005</v>
      </c>
      <c r="M7" s="6">
        <f t="shared" si="2"/>
        <v>7.943608682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</sheetData>
  <mergeCells count="2">
    <mergeCell ref="B1:I1"/>
    <mergeCell ref="K1:M1"/>
  </mergeCells>
  <drawing r:id="rId1"/>
</worksheet>
</file>