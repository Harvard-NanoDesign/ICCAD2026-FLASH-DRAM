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<sst xmlns="http://schemas.openxmlformats.org/spreadsheetml/2006/main" count="39" uniqueCount="26">
  <si>
    <t>TOTAL Emissions from facility with abatement (kg CO2e)</t>
  </si>
  <si>
    <t>32L</t>
  </si>
  <si>
    <t>48L</t>
  </si>
  <si>
    <t>64L</t>
  </si>
  <si>
    <t>92L</t>
  </si>
  <si>
    <t>128L</t>
  </si>
  <si>
    <t>176L</t>
  </si>
  <si>
    <t>236L</t>
  </si>
  <si>
    <t>336L</t>
  </si>
  <si>
    <t>512L</t>
  </si>
  <si>
    <t>640L</t>
  </si>
  <si>
    <t>768L</t>
  </si>
  <si>
    <t>896L</t>
  </si>
  <si>
    <t>1024L</t>
  </si>
  <si>
    <t>C4F8</t>
  </si>
  <si>
    <t>SF6</t>
  </si>
  <si>
    <t>NF3</t>
  </si>
  <si>
    <t>byproduct emissions</t>
  </si>
  <si>
    <t>TOTAL byproduct emissions breakdown (kg CO2e)</t>
  </si>
  <si>
    <t>BCF4</t>
  </si>
  <si>
    <t>BC2F6</t>
  </si>
  <si>
    <t>BC4F6</t>
  </si>
  <si>
    <t>BCHF3</t>
  </si>
  <si>
    <t>BCH2F2</t>
  </si>
  <si>
    <t>BCH3F</t>
  </si>
  <si>
    <t>TOTAL byproduct emissions (kg CO2e)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</si>
</sst>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0"/>
    <col customWidth="1" min="2" max="5" width="5.13"/>
    <col customWidth="1" min="6" max="14" width="6.13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</row>
    <row r="3">
      <c r="A3" s="1" t="s">
        <v>14</v>
      </c>
      <c r="B3" s="2">
        <v>1.16</v>
      </c>
      <c r="C3" s="2">
        <v>1.33</v>
      </c>
      <c r="D3" s="2">
        <v>1.45</v>
      </c>
      <c r="E3" s="2">
        <v>1.62</v>
      </c>
      <c r="F3" s="2">
        <v>1.9</v>
      </c>
      <c r="G3" s="2">
        <v>2.2</v>
      </c>
      <c r="H3" s="2">
        <v>2.65</v>
      </c>
      <c r="I3" s="2">
        <v>3.23</v>
      </c>
      <c r="J3" s="2">
        <v>4.38</v>
      </c>
      <c r="K3" s="2">
        <v>5.2</v>
      </c>
      <c r="L3" s="2">
        <v>6.03</v>
      </c>
      <c r="M3" s="2">
        <v>6.81</v>
      </c>
      <c r="N3" s="2">
        <v>7.68</v>
      </c>
    </row>
    <row r="4">
      <c r="A4" s="1" t="s">
        <v>15</v>
      </c>
      <c r="B4" s="2">
        <v>32.63</v>
      </c>
      <c r="C4" s="2">
        <v>37.27</v>
      </c>
      <c r="D4" s="2">
        <v>40.83</v>
      </c>
      <c r="E4" s="2">
        <v>45.62</v>
      </c>
      <c r="F4" s="2">
        <v>53.35</v>
      </c>
      <c r="G4" s="2">
        <v>61.71</v>
      </c>
      <c r="H4" s="2">
        <v>74.54</v>
      </c>
      <c r="I4" s="2">
        <v>90.78</v>
      </c>
      <c r="J4" s="2">
        <v>122.95</v>
      </c>
      <c r="K4" s="2">
        <v>146.14</v>
      </c>
      <c r="L4" s="2">
        <v>169.34</v>
      </c>
      <c r="M4" s="2">
        <v>191.3</v>
      </c>
      <c r="N4" s="2">
        <v>215.74</v>
      </c>
    </row>
    <row r="5">
      <c r="A5" s="1" t="s">
        <v>16</v>
      </c>
      <c r="B5" s="2">
        <v>53.04</v>
      </c>
      <c r="C5" s="2">
        <v>63.64</v>
      </c>
      <c r="D5" s="2">
        <v>72.48</v>
      </c>
      <c r="E5" s="2">
        <v>84.86</v>
      </c>
      <c r="F5" s="2">
        <v>102.98</v>
      </c>
      <c r="G5" s="2">
        <v>124.19</v>
      </c>
      <c r="H5" s="2">
        <v>155.57</v>
      </c>
      <c r="I5" s="2">
        <v>195.35</v>
      </c>
      <c r="J5" s="2">
        <v>274.02</v>
      </c>
      <c r="K5" s="2">
        <v>331.03</v>
      </c>
      <c r="L5" s="2">
        <v>388.04</v>
      </c>
      <c r="M5" s="2">
        <v>441.52</v>
      </c>
      <c r="N5" s="2">
        <v>502.07</v>
      </c>
    </row>
    <row r="6">
      <c r="A6" s="1" t="s">
        <v>17</v>
      </c>
      <c r="B6" s="2">
        <v>6.42</v>
      </c>
      <c r="C6" s="2">
        <v>7.59</v>
      </c>
      <c r="D6" s="2">
        <v>8.54</v>
      </c>
      <c r="E6" s="2">
        <v>9.87</v>
      </c>
      <c r="F6" s="2">
        <v>11.85</v>
      </c>
      <c r="G6" s="2">
        <v>14.13</v>
      </c>
      <c r="H6" s="2">
        <v>17.53</v>
      </c>
      <c r="I6" s="2">
        <v>21.85</v>
      </c>
      <c r="J6" s="2">
        <v>30.37</v>
      </c>
      <c r="K6" s="2">
        <v>36.55</v>
      </c>
      <c r="L6" s="2">
        <v>42.72</v>
      </c>
      <c r="M6" s="2">
        <v>48.53</v>
      </c>
      <c r="N6" s="2">
        <v>55.07</v>
      </c>
    </row>
    <row r="9">
      <c r="A9" s="1" t="s">
        <v>18</v>
      </c>
    </row>
    <row r="10">
      <c r="A10" s="3"/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</row>
    <row r="11">
      <c r="A11" s="1" t="s">
        <v>19</v>
      </c>
      <c r="B11" s="2">
        <v>3.37</v>
      </c>
      <c r="C11" s="2">
        <v>3.98</v>
      </c>
      <c r="D11" s="2">
        <v>4.48</v>
      </c>
      <c r="E11" s="2">
        <v>5.17</v>
      </c>
      <c r="F11" s="2">
        <v>6.21</v>
      </c>
      <c r="G11" s="2">
        <v>7.4</v>
      </c>
      <c r="H11" s="2">
        <v>9.18</v>
      </c>
      <c r="I11" s="2">
        <v>11.43</v>
      </c>
      <c r="J11" s="2">
        <v>15.89</v>
      </c>
      <c r="K11" s="2">
        <v>19.11</v>
      </c>
      <c r="L11" s="2">
        <v>22.34</v>
      </c>
      <c r="M11" s="2">
        <v>25.37</v>
      </c>
      <c r="N11" s="2">
        <v>28.79</v>
      </c>
    </row>
    <row r="12">
      <c r="A12" s="1" t="s">
        <v>20</v>
      </c>
      <c r="B12" s="2">
        <v>2.55</v>
      </c>
      <c r="C12" s="2">
        <v>3.01</v>
      </c>
      <c r="D12" s="2">
        <v>3.39</v>
      </c>
      <c r="E12" s="2">
        <v>3.91</v>
      </c>
      <c r="F12" s="2">
        <v>4.69</v>
      </c>
      <c r="G12" s="2">
        <v>5.59</v>
      </c>
      <c r="H12" s="2">
        <v>6.93</v>
      </c>
      <c r="I12" s="2">
        <v>8.63</v>
      </c>
      <c r="J12" s="2">
        <v>11.99</v>
      </c>
      <c r="K12" s="2">
        <v>14.42</v>
      </c>
      <c r="L12" s="2">
        <v>16.85</v>
      </c>
      <c r="M12" s="2">
        <v>19.14</v>
      </c>
      <c r="N12" s="2">
        <v>21.72</v>
      </c>
    </row>
    <row r="13">
      <c r="A13" s="1" t="s">
        <v>21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</row>
    <row r="14">
      <c r="A14" s="1" t="s">
        <v>22</v>
      </c>
      <c r="B14" s="2">
        <v>0.5</v>
      </c>
      <c r="C14" s="2">
        <v>0.59</v>
      </c>
      <c r="D14" s="2">
        <v>0.67</v>
      </c>
      <c r="E14" s="2">
        <v>0.78</v>
      </c>
      <c r="F14" s="2">
        <v>0.95</v>
      </c>
      <c r="G14" s="2">
        <v>1.14</v>
      </c>
      <c r="H14" s="2">
        <v>1.42</v>
      </c>
      <c r="I14" s="2">
        <v>1.78</v>
      </c>
      <c r="J14" s="2">
        <v>2.49</v>
      </c>
      <c r="K14" s="2">
        <v>3.0</v>
      </c>
      <c r="L14" s="2">
        <v>3.52</v>
      </c>
      <c r="M14" s="2">
        <v>4.0</v>
      </c>
      <c r="N14" s="2">
        <v>4.55</v>
      </c>
    </row>
    <row r="15">
      <c r="A15" s="1" t="s">
        <v>23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0.01</v>
      </c>
      <c r="K15" s="2">
        <v>0.01</v>
      </c>
      <c r="L15" s="2">
        <v>0.01</v>
      </c>
      <c r="M15" s="2">
        <v>0.01</v>
      </c>
      <c r="N15" s="2">
        <v>0.01</v>
      </c>
    </row>
    <row r="16">
      <c r="A16" s="1" t="s">
        <v>24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0.01</v>
      </c>
      <c r="K16" s="2">
        <v>0.01</v>
      </c>
      <c r="L16" s="2">
        <v>0.01</v>
      </c>
      <c r="M16" s="2">
        <v>0.01</v>
      </c>
      <c r="N16" s="2">
        <v>0.01</v>
      </c>
    </row>
    <row r="18">
      <c r="A18" s="1" t="s">
        <v>25</v>
      </c>
      <c r="B18" s="4">
        <f t="shared" ref="B18:N18" si="1">sum(B11:B16)</f>
        <v>6.42</v>
      </c>
      <c r="C18" s="4">
        <f t="shared" si="1"/>
        <v>7.58</v>
      </c>
      <c r="D18" s="4">
        <f t="shared" si="1"/>
        <v>8.54</v>
      </c>
      <c r="E18" s="4">
        <f t="shared" si="1"/>
        <v>9.86</v>
      </c>
      <c r="F18" s="4">
        <f t="shared" si="1"/>
        <v>11.85</v>
      </c>
      <c r="G18" s="4">
        <f t="shared" si="1"/>
        <v>14.13</v>
      </c>
      <c r="H18" s="4">
        <f t="shared" si="1"/>
        <v>17.53</v>
      </c>
      <c r="I18" s="4">
        <f t="shared" si="1"/>
        <v>21.84</v>
      </c>
      <c r="J18" s="4">
        <f t="shared" si="1"/>
        <v>30.39</v>
      </c>
      <c r="K18" s="4">
        <f t="shared" si="1"/>
        <v>36.55</v>
      </c>
      <c r="L18" s="4">
        <f t="shared" si="1"/>
        <v>42.73</v>
      </c>
      <c r="M18" s="4">
        <f t="shared" si="1"/>
        <v>48.53</v>
      </c>
      <c r="N18" s="4">
        <f t="shared" si="1"/>
        <v>55.08</v>
      </c>
    </row>
  </sheetData>
  <mergeCells count="2">
    <mergeCell ref="A1:N1"/>
    <mergeCell ref="A9:N9"/>
  </mergeCells>
  <drawing r:id="rId1"/>
</worksheet>
</file>